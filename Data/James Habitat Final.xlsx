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FISH MANAGEMENT\James River Catfish\Manuscripts\Loss of Woody Debris\"/>
    </mc:Choice>
  </mc:AlternateContent>
  <xr:revisionPtr revIDLastSave="0" documentId="13_ncr:1_{C1A3F804-4DE0-45FB-BD55-B16CF3955590}" xr6:coauthVersionLast="47" xr6:coauthVersionMax="47" xr10:uidLastSave="{00000000-0000-0000-0000-000000000000}"/>
  <bookViews>
    <workbookView xWindow="13530" yWindow="0" windowWidth="13815" windowHeight="17385" firstSheet="2" activeTab="3" xr2:uid="{EC0E897C-4985-4E3B-9B53-77FD484C3A3C}"/>
  </bookViews>
  <sheets>
    <sheet name="Data" sheetId="2" r:id="rId1"/>
    <sheet name="SummaryTable" sheetId="3" r:id="rId2"/>
    <sheet name="SupplementaryData" sheetId="4" r:id="rId3"/>
    <sheet name="SupplementarySummary" sheetId="5" r:id="rId4"/>
  </sheets>
  <calcPr calcId="191029"/>
  <pivotCaches>
    <pivotCache cacheId="0" r:id="rId5"/>
    <pivotCache cacheId="6" r:id="rId6"/>
    <pivotCache cacheId="1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5" l="1"/>
  <c r="L15" i="5"/>
  <c r="M14" i="5"/>
  <c r="L14" i="5"/>
  <c r="O43" i="5"/>
  <c r="N43" i="5"/>
  <c r="O42" i="5"/>
  <c r="N42" i="5"/>
  <c r="N40" i="5"/>
  <c r="O40" i="5"/>
  <c r="O39" i="5"/>
  <c r="N39" i="5"/>
  <c r="C6" i="5"/>
  <c r="C5" i="5"/>
  <c r="C4" i="5"/>
  <c r="C3" i="5"/>
  <c r="C2" i="5"/>
  <c r="C21" i="5"/>
  <c r="C20" i="5"/>
  <c r="C19" i="5"/>
  <c r="C18" i="5"/>
  <c r="C17" i="5"/>
  <c r="C16" i="5"/>
  <c r="C15" i="5"/>
  <c r="C14" i="5"/>
  <c r="C13" i="5"/>
  <c r="C12" i="5"/>
  <c r="C10" i="5"/>
  <c r="C9" i="5"/>
  <c r="C8" i="5"/>
  <c r="C7" i="5"/>
  <c r="C11" i="5"/>
  <c r="G14" i="3"/>
  <c r="F14" i="3"/>
  <c r="F13" i="3"/>
  <c r="G13" i="3"/>
</calcChain>
</file>

<file path=xl/sharedStrings.xml><?xml version="1.0" encoding="utf-8"?>
<sst xmlns="http://schemas.openxmlformats.org/spreadsheetml/2006/main" count="418" uniqueCount="38">
  <si>
    <t>Stretch</t>
  </si>
  <si>
    <t>Plot #</t>
  </si>
  <si>
    <t>Sur. Area</t>
  </si>
  <si>
    <t>Rkm</t>
  </si>
  <si>
    <t>Year</t>
  </si>
  <si>
    <t>Row Labels</t>
  </si>
  <si>
    <t>(blank)</t>
  </si>
  <si>
    <t>Grand Total</t>
  </si>
  <si>
    <t>Sum of Sur. Area</t>
  </si>
  <si>
    <t>Count of Rkm</t>
  </si>
  <si>
    <t>Count</t>
  </si>
  <si>
    <t>Area</t>
  </si>
  <si>
    <t>Date</t>
  </si>
  <si>
    <t>Relation</t>
  </si>
  <si>
    <t>Downstream</t>
  </si>
  <si>
    <t>Latitude</t>
  </si>
  <si>
    <t>Longitude</t>
  </si>
  <si>
    <t>Count of Plot #</t>
  </si>
  <si>
    <t>Upstream</t>
  </si>
  <si>
    <t>Distance_Downstream</t>
  </si>
  <si>
    <t>%Decline</t>
  </si>
  <si>
    <t>Average of Count</t>
  </si>
  <si>
    <t>Average of Area</t>
  </si>
  <si>
    <t>Reach</t>
  </si>
  <si>
    <t xml:space="preserve">Area </t>
  </si>
  <si>
    <t>StdDev of Area</t>
  </si>
  <si>
    <t>StdDev of Count</t>
  </si>
  <si>
    <t>Count of Count</t>
  </si>
  <si>
    <t>SE Count</t>
  </si>
  <si>
    <t>SE Area</t>
  </si>
  <si>
    <t>28.6 (5.8)</t>
  </si>
  <si>
    <t>602.1 (140.1)</t>
  </si>
  <si>
    <t>17.6 (2.6)</t>
  </si>
  <si>
    <t>257.8 (63.7)</t>
  </si>
  <si>
    <t>9.4 (1.6)</t>
  </si>
  <si>
    <t>181.9 (84.5)</t>
  </si>
  <si>
    <t>66.7 (22.3)</t>
  </si>
  <si>
    <t>10.0 (2.8)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</si>
</sst>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NumberFormat="1"/>
    <xf numFmtId="0" fontId="1" fillId="2" borderId="2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2" xfId="0" applyFont="1" applyBorder="1" applyAlignment="1">
      <alignment horizontal="left"/>
    </xf>
    <xf numFmtId="0" fontId="1" fillId="0" borderId="2" xfId="0" applyNumberFormat="1" applyFont="1" applyBorder="1"/>
    <xf numFmtId="14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0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pivotButton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176" fontId="3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0" borderId="2" xfId="0" applyNumberFormat="1" applyFont="1" applyBorder="1"/>
    <xf numFmtId="176" fontId="3" fillId="0" borderId="0" xfId="0" applyNumberFormat="1" applyFont="1"/>
  </cellXfs>
  <cellStyles count="1">
    <cellStyle name="Normal" xfId="0" builtinId="0"/>
  </cellStyles>
  <dxfs count="130"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J Schall" refreshedDate="45622.699758101851" createdVersion="8" refreshedVersion="8" minRefreshableVersion="3" recordCount="262" xr:uid="{2FCEC1A1-C62D-480E-AF46-19B9390EB334}">
  <cacheSource type="worksheet">
    <worksheetSource ref="A1:D1048576" sheet="Data"/>
  </cacheSource>
  <cacheFields count="4">
    <cacheField name="Rkm" numFmtId="0">
      <sharedItems containsString="0" containsBlank="1" containsNumber="1" containsInteger="1" minValue="1" maxValue="10" count="11">
        <n v="1"/>
        <n v="2"/>
        <n v="3"/>
        <n v="4"/>
        <n v="5"/>
        <n v="6"/>
        <n v="7"/>
        <n v="8"/>
        <n v="9"/>
        <n v="10"/>
        <m/>
      </sharedItems>
    </cacheField>
    <cacheField name="Plot #" numFmtId="0">
      <sharedItems containsString="0" containsBlank="1" containsNumber="1" containsInteger="1" minValue="1" maxValue="159"/>
    </cacheField>
    <cacheField name="Sur. Area" numFmtId="0">
      <sharedItems containsString="0" containsBlank="1" containsNumber="1" minValue="0.2" maxValue="373"/>
    </cacheField>
    <cacheField name="Year" numFmtId="0">
      <sharedItems containsString="0" containsBlank="1" containsNumber="1" containsInteger="1" minValue="2015" maxValue="2022" count="3">
        <n v="2022"/>
        <n v="201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J Schall" refreshedDate="45882.509061921293" createdVersion="8" refreshedVersion="8" minRefreshableVersion="3" recordCount="329" xr:uid="{E6B4857E-2A32-4A7B-B4A9-79E52236A2C1}">
  <cacheSource type="worksheet">
    <worksheetSource ref="A1:F1048576" sheet="SupplementaryData"/>
  </cacheSource>
  <cacheFields count="6">
    <cacheField name="Rkm" numFmtId="0">
      <sharedItems containsString="0" containsBlank="1" containsNumber="1" minValue="74.97" maxValue="123.1" count="13">
        <n v="91.289999999999992"/>
        <n v="86.34"/>
        <n v="83.16"/>
        <n v="81.56"/>
        <n v="74.97"/>
        <n v="123"/>
        <n v="121.07"/>
        <n v="115.69"/>
        <n v="114.35"/>
        <n v="108.2"/>
        <m/>
        <n v="123.1" u="1"/>
        <n v="91.29" u="1"/>
      </sharedItems>
    </cacheField>
    <cacheField name="Plot #" numFmtId="0">
      <sharedItems containsString="0" containsBlank="1" containsNumber="1" containsInteger="1" minValue="1" maxValue="143"/>
    </cacheField>
    <cacheField name="Sur. Area" numFmtId="0">
      <sharedItems containsString="0" containsBlank="1" containsNumber="1" minValue="0.2" maxValue="354"/>
    </cacheField>
    <cacheField name="Year" numFmtId="0">
      <sharedItems containsString="0" containsBlank="1" containsNumber="1" containsInteger="1" minValue="2015" maxValue="2022" count="3">
        <n v="2015"/>
        <n v="2022"/>
        <m/>
      </sharedItems>
    </cacheField>
    <cacheField name="Date" numFmtId="0">
      <sharedItems containsNonDate="0" containsDate="1" containsString="0" containsBlank="1" minDate="2015-07-17T00:00:00" maxDate="2022-09-11T00:00:00"/>
    </cacheField>
    <cacheField name="Rel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J Schall" refreshedDate="45882.522943171294" createdVersion="8" refreshedVersion="8" minRefreshableVersion="3" recordCount="20" xr:uid="{50170355-451E-4E6F-A78E-BFACB98F66F6}">
  <cacheSource type="worksheet">
    <worksheetSource ref="A1:H21" sheet="SupplementarySummary"/>
  </cacheSource>
  <cacheFields count="8">
    <cacheField name="Year" numFmtId="0">
      <sharedItems containsSemiMixedTypes="0" containsString="0" containsNumber="1" containsInteger="1" minValue="2015" maxValue="2022" count="2">
        <n v="2015"/>
        <n v="2022"/>
      </sharedItems>
    </cacheField>
    <cacheField name="Distance_Downstream" numFmtId="0">
      <sharedItems containsSemiMixedTypes="0" containsString="0" containsNumber="1" minValue="-19" maxValue="29.03"/>
    </cacheField>
    <cacheField name="Rkm" numFmtId="2">
      <sharedItems containsSemiMixedTypes="0" containsString="0" containsNumber="1" minValue="74.97" maxValue="123"/>
    </cacheField>
    <cacheField name="Latitude" numFmtId="0">
      <sharedItems containsSemiMixedTypes="0" containsString="0" containsNumber="1" minValue="43.138896000000003" maxValue="43.333314000000001"/>
    </cacheField>
    <cacheField name="Longitude" numFmtId="0">
      <sharedItems containsSemiMixedTypes="0" containsString="0" containsNumber="1" minValue="-97640722" maxValue="-97.548911000000004"/>
    </cacheField>
    <cacheField name="Relation" numFmtId="0">
      <sharedItems count="2">
        <s v="Downstream"/>
        <s v="Upstream"/>
      </sharedItems>
    </cacheField>
    <cacheField name="Area" numFmtId="0">
      <sharedItems containsSemiMixedTypes="0" containsString="0" containsNumber="1" minValue="13.5" maxValue="1068.5999999999999"/>
    </cacheField>
    <cacheField name="Count" numFmtId="0">
      <sharedItems containsSemiMixedTypes="0" containsString="0" containsNumber="1" containsInteger="1" minValue="4" maxValue="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2">
  <r>
    <x v="0"/>
    <n v="1"/>
    <n v="9.8000000000000007"/>
    <x v="0"/>
  </r>
  <r>
    <x v="0"/>
    <n v="2"/>
    <n v="15.2"/>
    <x v="0"/>
  </r>
  <r>
    <x v="0"/>
    <n v="3"/>
    <n v="7.8"/>
    <x v="0"/>
  </r>
  <r>
    <x v="0"/>
    <n v="4"/>
    <n v="21.8"/>
    <x v="0"/>
  </r>
  <r>
    <x v="0"/>
    <n v="5"/>
    <n v="2.2999999999999998"/>
    <x v="0"/>
  </r>
  <r>
    <x v="0"/>
    <n v="6"/>
    <n v="12.9"/>
    <x v="0"/>
  </r>
  <r>
    <x v="0"/>
    <n v="7"/>
    <n v="10.199999999999999"/>
    <x v="0"/>
  </r>
  <r>
    <x v="0"/>
    <n v="8"/>
    <n v="7.5"/>
    <x v="0"/>
  </r>
  <r>
    <x v="0"/>
    <n v="9"/>
    <n v="0.5"/>
    <x v="0"/>
  </r>
  <r>
    <x v="0"/>
    <n v="10"/>
    <n v="1.2"/>
    <x v="0"/>
  </r>
  <r>
    <x v="0"/>
    <n v="11"/>
    <n v="5.9"/>
    <x v="0"/>
  </r>
  <r>
    <x v="0"/>
    <n v="12"/>
    <n v="0.3"/>
    <x v="0"/>
  </r>
  <r>
    <x v="0"/>
    <n v="13"/>
    <n v="0.7"/>
    <x v="0"/>
  </r>
  <r>
    <x v="0"/>
    <n v="14"/>
    <n v="3.8"/>
    <x v="0"/>
  </r>
  <r>
    <x v="0"/>
    <n v="15"/>
    <n v="0.9"/>
    <x v="0"/>
  </r>
  <r>
    <x v="0"/>
    <n v="16"/>
    <n v="5"/>
    <x v="0"/>
  </r>
  <r>
    <x v="0"/>
    <n v="17"/>
    <n v="5.4"/>
    <x v="0"/>
  </r>
  <r>
    <x v="0"/>
    <n v="18"/>
    <n v="1"/>
    <x v="0"/>
  </r>
  <r>
    <x v="1"/>
    <n v="19"/>
    <n v="25.8"/>
    <x v="0"/>
  </r>
  <r>
    <x v="1"/>
    <n v="20"/>
    <n v="15.7"/>
    <x v="0"/>
  </r>
  <r>
    <x v="1"/>
    <n v="21"/>
    <n v="9.6999999999999993"/>
    <x v="0"/>
  </r>
  <r>
    <x v="1"/>
    <n v="22"/>
    <n v="24.3"/>
    <x v="0"/>
  </r>
  <r>
    <x v="1"/>
    <n v="23"/>
    <n v="4.2"/>
    <x v="0"/>
  </r>
  <r>
    <x v="1"/>
    <n v="24"/>
    <n v="5.5"/>
    <x v="0"/>
  </r>
  <r>
    <x v="1"/>
    <n v="25"/>
    <n v="1.1000000000000001"/>
    <x v="0"/>
  </r>
  <r>
    <x v="1"/>
    <n v="26"/>
    <n v="1.8"/>
    <x v="0"/>
  </r>
  <r>
    <x v="1"/>
    <n v="27"/>
    <n v="7.5"/>
    <x v="0"/>
  </r>
  <r>
    <x v="1"/>
    <n v="28"/>
    <n v="33.9"/>
    <x v="0"/>
  </r>
  <r>
    <x v="2"/>
    <n v="29"/>
    <n v="102.7"/>
    <x v="0"/>
  </r>
  <r>
    <x v="2"/>
    <n v="30"/>
    <n v="5.3"/>
    <x v="0"/>
  </r>
  <r>
    <x v="2"/>
    <n v="31"/>
    <n v="92.1"/>
    <x v="0"/>
  </r>
  <r>
    <x v="2"/>
    <n v="32"/>
    <n v="6.3"/>
    <x v="0"/>
  </r>
  <r>
    <x v="3"/>
    <n v="33"/>
    <n v="12.3"/>
    <x v="0"/>
  </r>
  <r>
    <x v="3"/>
    <n v="34"/>
    <n v="2.4"/>
    <x v="0"/>
  </r>
  <r>
    <x v="3"/>
    <n v="35"/>
    <n v="1.9"/>
    <x v="0"/>
  </r>
  <r>
    <x v="3"/>
    <n v="36"/>
    <n v="0.5"/>
    <x v="0"/>
  </r>
  <r>
    <x v="3"/>
    <n v="37"/>
    <n v="9.8000000000000007"/>
    <x v="0"/>
  </r>
  <r>
    <x v="3"/>
    <n v="38"/>
    <n v="10.7"/>
    <x v="0"/>
  </r>
  <r>
    <x v="3"/>
    <n v="39"/>
    <n v="5.4"/>
    <x v="0"/>
  </r>
  <r>
    <x v="4"/>
    <n v="40"/>
    <n v="6.1"/>
    <x v="0"/>
  </r>
  <r>
    <x v="4"/>
    <n v="41"/>
    <n v="34.4"/>
    <x v="0"/>
  </r>
  <r>
    <x v="4"/>
    <n v="42"/>
    <n v="7.6"/>
    <x v="0"/>
  </r>
  <r>
    <x v="4"/>
    <n v="43"/>
    <n v="1.3"/>
    <x v="0"/>
  </r>
  <r>
    <x v="5"/>
    <n v="44"/>
    <n v="2"/>
    <x v="0"/>
  </r>
  <r>
    <x v="5"/>
    <n v="45"/>
    <n v="4.4000000000000004"/>
    <x v="0"/>
  </r>
  <r>
    <x v="5"/>
    <n v="46"/>
    <n v="4.0999999999999996"/>
    <x v="0"/>
  </r>
  <r>
    <x v="5"/>
    <n v="47"/>
    <n v="32.1"/>
    <x v="0"/>
  </r>
  <r>
    <x v="5"/>
    <n v="48"/>
    <n v="0.4"/>
    <x v="0"/>
  </r>
  <r>
    <x v="5"/>
    <n v="49"/>
    <n v="4.0999999999999996"/>
    <x v="0"/>
  </r>
  <r>
    <x v="5"/>
    <n v="50"/>
    <n v="0.3"/>
    <x v="0"/>
  </r>
  <r>
    <x v="5"/>
    <n v="51"/>
    <n v="2.2999999999999998"/>
    <x v="0"/>
  </r>
  <r>
    <x v="5"/>
    <n v="52"/>
    <n v="4.5999999999999996"/>
    <x v="0"/>
  </r>
  <r>
    <x v="5"/>
    <n v="53"/>
    <n v="17.100000000000001"/>
    <x v="0"/>
  </r>
  <r>
    <x v="5"/>
    <n v="54"/>
    <n v="9.1999999999999993"/>
    <x v="0"/>
  </r>
  <r>
    <x v="5"/>
    <n v="55"/>
    <n v="5.7"/>
    <x v="0"/>
  </r>
  <r>
    <x v="5"/>
    <n v="56"/>
    <n v="62"/>
    <x v="0"/>
  </r>
  <r>
    <x v="5"/>
    <n v="57"/>
    <n v="52"/>
    <x v="0"/>
  </r>
  <r>
    <x v="6"/>
    <n v="58"/>
    <n v="19.8"/>
    <x v="0"/>
  </r>
  <r>
    <x v="6"/>
    <n v="59"/>
    <n v="28.2"/>
    <x v="0"/>
  </r>
  <r>
    <x v="6"/>
    <n v="60"/>
    <n v="8.8000000000000007"/>
    <x v="0"/>
  </r>
  <r>
    <x v="6"/>
    <n v="61"/>
    <n v="2.2999999999999998"/>
    <x v="0"/>
  </r>
  <r>
    <x v="6"/>
    <n v="62"/>
    <n v="25.3"/>
    <x v="0"/>
  </r>
  <r>
    <x v="6"/>
    <n v="63"/>
    <n v="11.3"/>
    <x v="0"/>
  </r>
  <r>
    <x v="6"/>
    <n v="64"/>
    <n v="1"/>
    <x v="0"/>
  </r>
  <r>
    <x v="6"/>
    <n v="65"/>
    <n v="17.5"/>
    <x v="0"/>
  </r>
  <r>
    <x v="6"/>
    <n v="66"/>
    <n v="45.1"/>
    <x v="0"/>
  </r>
  <r>
    <x v="6"/>
    <n v="67"/>
    <n v="13.7"/>
    <x v="0"/>
  </r>
  <r>
    <x v="6"/>
    <n v="68"/>
    <n v="1.3"/>
    <x v="0"/>
  </r>
  <r>
    <x v="6"/>
    <n v="69"/>
    <n v="8.1999999999999993"/>
    <x v="0"/>
  </r>
  <r>
    <x v="6"/>
    <n v="70"/>
    <n v="1.5"/>
    <x v="0"/>
  </r>
  <r>
    <x v="6"/>
    <n v="71"/>
    <n v="8"/>
    <x v="0"/>
  </r>
  <r>
    <x v="6"/>
    <n v="72"/>
    <n v="0.9"/>
    <x v="0"/>
  </r>
  <r>
    <x v="6"/>
    <n v="73"/>
    <n v="9.4"/>
    <x v="0"/>
  </r>
  <r>
    <x v="6"/>
    <n v="74"/>
    <n v="103"/>
    <x v="0"/>
  </r>
  <r>
    <x v="6"/>
    <n v="75"/>
    <n v="3.9"/>
    <x v="0"/>
  </r>
  <r>
    <x v="7"/>
    <n v="76"/>
    <n v="3.2"/>
    <x v="0"/>
  </r>
  <r>
    <x v="7"/>
    <n v="77"/>
    <n v="6.4"/>
    <x v="0"/>
  </r>
  <r>
    <x v="7"/>
    <n v="78"/>
    <n v="0.8"/>
    <x v="0"/>
  </r>
  <r>
    <x v="7"/>
    <n v="79"/>
    <n v="18.2"/>
    <x v="0"/>
  </r>
  <r>
    <x v="7"/>
    <n v="80"/>
    <n v="2"/>
    <x v="0"/>
  </r>
  <r>
    <x v="7"/>
    <n v="81"/>
    <n v="2.9"/>
    <x v="0"/>
  </r>
  <r>
    <x v="7"/>
    <n v="82"/>
    <n v="2.7"/>
    <x v="0"/>
  </r>
  <r>
    <x v="8"/>
    <n v="83"/>
    <n v="0.7"/>
    <x v="0"/>
  </r>
  <r>
    <x v="8"/>
    <n v="84"/>
    <n v="0.8"/>
    <x v="0"/>
  </r>
  <r>
    <x v="8"/>
    <n v="85"/>
    <n v="2.1"/>
    <x v="0"/>
  </r>
  <r>
    <x v="8"/>
    <n v="86"/>
    <n v="9.6999999999999993"/>
    <x v="0"/>
  </r>
  <r>
    <x v="8"/>
    <n v="87"/>
    <n v="7.1"/>
    <x v="0"/>
  </r>
  <r>
    <x v="8"/>
    <n v="88"/>
    <n v="5.3"/>
    <x v="0"/>
  </r>
  <r>
    <x v="9"/>
    <n v="89"/>
    <n v="19.2"/>
    <x v="0"/>
  </r>
  <r>
    <x v="9"/>
    <n v="90"/>
    <n v="1.2"/>
    <x v="0"/>
  </r>
  <r>
    <x v="9"/>
    <n v="91"/>
    <n v="0.2"/>
    <x v="0"/>
  </r>
  <r>
    <x v="9"/>
    <n v="92"/>
    <n v="1.2"/>
    <x v="0"/>
  </r>
  <r>
    <x v="9"/>
    <n v="93"/>
    <n v="3"/>
    <x v="0"/>
  </r>
  <r>
    <x v="9"/>
    <n v="94"/>
    <n v="5.4"/>
    <x v="0"/>
  </r>
  <r>
    <x v="9"/>
    <n v="95"/>
    <n v="0.5"/>
    <x v="0"/>
  </r>
  <r>
    <x v="9"/>
    <n v="96"/>
    <n v="48"/>
    <x v="0"/>
  </r>
  <r>
    <x v="9"/>
    <n v="97"/>
    <n v="4.5999999999999996"/>
    <x v="0"/>
  </r>
  <r>
    <x v="9"/>
    <n v="98"/>
    <n v="20"/>
    <x v="0"/>
  </r>
  <r>
    <x v="9"/>
    <n v="99"/>
    <n v="2.9"/>
    <x v="0"/>
  </r>
  <r>
    <x v="9"/>
    <n v="100"/>
    <n v="28.1"/>
    <x v="0"/>
  </r>
  <r>
    <x v="9"/>
    <n v="101"/>
    <n v="1.1000000000000001"/>
    <x v="0"/>
  </r>
  <r>
    <x v="9"/>
    <n v="102"/>
    <n v="0.7"/>
    <x v="0"/>
  </r>
  <r>
    <x v="9"/>
    <n v="103"/>
    <n v="11.3"/>
    <x v="0"/>
  </r>
  <r>
    <x v="0"/>
    <n v="1"/>
    <n v="15.5"/>
    <x v="1"/>
  </r>
  <r>
    <x v="0"/>
    <n v="2"/>
    <n v="12.8"/>
    <x v="1"/>
  </r>
  <r>
    <x v="0"/>
    <n v="3"/>
    <n v="20.399999999999999"/>
    <x v="1"/>
  </r>
  <r>
    <x v="0"/>
    <n v="4"/>
    <n v="13.6"/>
    <x v="1"/>
  </r>
  <r>
    <x v="0"/>
    <n v="5"/>
    <n v="24.7"/>
    <x v="1"/>
  </r>
  <r>
    <x v="0"/>
    <n v="6"/>
    <n v="16.399999999999999"/>
    <x v="1"/>
  </r>
  <r>
    <x v="0"/>
    <n v="7"/>
    <n v="30.1"/>
    <x v="1"/>
  </r>
  <r>
    <x v="0"/>
    <n v="8"/>
    <n v="19"/>
    <x v="1"/>
  </r>
  <r>
    <x v="0"/>
    <n v="9"/>
    <n v="12.9"/>
    <x v="1"/>
  </r>
  <r>
    <x v="0"/>
    <n v="10"/>
    <n v="13.3"/>
    <x v="1"/>
  </r>
  <r>
    <x v="0"/>
    <n v="11"/>
    <n v="10.1"/>
    <x v="1"/>
  </r>
  <r>
    <x v="0"/>
    <n v="12"/>
    <n v="26.5"/>
    <x v="1"/>
  </r>
  <r>
    <x v="0"/>
    <n v="13"/>
    <n v="4.2"/>
    <x v="1"/>
  </r>
  <r>
    <x v="0"/>
    <n v="14"/>
    <n v="37"/>
    <x v="1"/>
  </r>
  <r>
    <x v="0"/>
    <n v="15"/>
    <n v="23.7"/>
    <x v="1"/>
  </r>
  <r>
    <x v="0"/>
    <n v="16"/>
    <n v="13.1"/>
    <x v="1"/>
  </r>
  <r>
    <x v="1"/>
    <n v="17"/>
    <n v="34.700000000000003"/>
    <x v="1"/>
  </r>
  <r>
    <x v="1"/>
    <n v="18"/>
    <n v="6.5"/>
    <x v="1"/>
  </r>
  <r>
    <x v="1"/>
    <n v="19"/>
    <n v="12.3"/>
    <x v="1"/>
  </r>
  <r>
    <x v="1"/>
    <n v="20"/>
    <n v="2.1"/>
    <x v="1"/>
  </r>
  <r>
    <x v="1"/>
    <n v="21"/>
    <n v="11.9"/>
    <x v="1"/>
  </r>
  <r>
    <x v="1"/>
    <n v="22"/>
    <n v="3.9"/>
    <x v="1"/>
  </r>
  <r>
    <x v="1"/>
    <n v="23"/>
    <n v="17.5"/>
    <x v="1"/>
  </r>
  <r>
    <x v="1"/>
    <n v="24"/>
    <n v="10.1"/>
    <x v="1"/>
  </r>
  <r>
    <x v="1"/>
    <n v="25"/>
    <n v="4.3"/>
    <x v="1"/>
  </r>
  <r>
    <x v="2"/>
    <n v="26"/>
    <n v="7.9"/>
    <x v="1"/>
  </r>
  <r>
    <x v="2"/>
    <n v="27"/>
    <n v="22.7"/>
    <x v="1"/>
  </r>
  <r>
    <x v="2"/>
    <n v="28"/>
    <n v="9.6"/>
    <x v="1"/>
  </r>
  <r>
    <x v="2"/>
    <n v="29"/>
    <n v="373"/>
    <x v="1"/>
  </r>
  <r>
    <x v="2"/>
    <n v="30"/>
    <n v="28.4"/>
    <x v="1"/>
  </r>
  <r>
    <x v="2"/>
    <n v="31"/>
    <n v="4.7"/>
    <x v="1"/>
  </r>
  <r>
    <x v="2"/>
    <n v="32"/>
    <n v="3.2"/>
    <x v="1"/>
  </r>
  <r>
    <x v="2"/>
    <n v="33"/>
    <n v="2.2999999999999998"/>
    <x v="1"/>
  </r>
  <r>
    <x v="2"/>
    <n v="34"/>
    <n v="8.3000000000000007"/>
    <x v="1"/>
  </r>
  <r>
    <x v="2"/>
    <n v="35"/>
    <n v="56.7"/>
    <x v="1"/>
  </r>
  <r>
    <x v="2"/>
    <n v="36"/>
    <n v="6.8"/>
    <x v="1"/>
  </r>
  <r>
    <x v="2"/>
    <n v="37"/>
    <n v="59.8"/>
    <x v="1"/>
  </r>
  <r>
    <x v="2"/>
    <n v="38"/>
    <n v="2.9"/>
    <x v="1"/>
  </r>
  <r>
    <x v="2"/>
    <n v="39"/>
    <n v="7.7"/>
    <x v="1"/>
  </r>
  <r>
    <x v="3"/>
    <n v="40"/>
    <n v="3.3"/>
    <x v="1"/>
  </r>
  <r>
    <x v="3"/>
    <n v="41"/>
    <n v="64.8"/>
    <x v="1"/>
  </r>
  <r>
    <x v="3"/>
    <n v="42"/>
    <n v="4.0999999999999996"/>
    <x v="1"/>
  </r>
  <r>
    <x v="3"/>
    <n v="43"/>
    <n v="8.9"/>
    <x v="1"/>
  </r>
  <r>
    <x v="3"/>
    <n v="44"/>
    <n v="13.1"/>
    <x v="1"/>
  </r>
  <r>
    <x v="3"/>
    <n v="45"/>
    <n v="112"/>
    <x v="1"/>
  </r>
  <r>
    <x v="4"/>
    <n v="46"/>
    <n v="6.4"/>
    <x v="1"/>
  </r>
  <r>
    <x v="4"/>
    <n v="47"/>
    <n v="2.6"/>
    <x v="1"/>
  </r>
  <r>
    <x v="4"/>
    <n v="48"/>
    <n v="11.6"/>
    <x v="1"/>
  </r>
  <r>
    <x v="4"/>
    <n v="49"/>
    <n v="2.9"/>
    <x v="1"/>
  </r>
  <r>
    <x v="4"/>
    <n v="50"/>
    <n v="26.6"/>
    <x v="1"/>
  </r>
  <r>
    <x v="4"/>
    <n v="51"/>
    <n v="0.6"/>
    <x v="1"/>
  </r>
  <r>
    <x v="4"/>
    <n v="52"/>
    <n v="19"/>
    <x v="1"/>
  </r>
  <r>
    <x v="4"/>
    <n v="53"/>
    <n v="6.2"/>
    <x v="1"/>
  </r>
  <r>
    <x v="4"/>
    <n v="54"/>
    <n v="4.9000000000000004"/>
    <x v="1"/>
  </r>
  <r>
    <x v="4"/>
    <n v="55"/>
    <n v="7.1"/>
    <x v="1"/>
  </r>
  <r>
    <x v="4"/>
    <n v="56"/>
    <n v="7.2"/>
    <x v="1"/>
  </r>
  <r>
    <x v="5"/>
    <n v="57"/>
    <n v="23.9"/>
    <x v="1"/>
  </r>
  <r>
    <x v="5"/>
    <n v="58"/>
    <n v="30.5"/>
    <x v="1"/>
  </r>
  <r>
    <x v="5"/>
    <n v="59"/>
    <n v="8"/>
    <x v="1"/>
  </r>
  <r>
    <x v="5"/>
    <n v="60"/>
    <n v="14.6"/>
    <x v="1"/>
  </r>
  <r>
    <x v="5"/>
    <n v="61"/>
    <n v="6.2"/>
    <x v="1"/>
  </r>
  <r>
    <x v="5"/>
    <n v="62"/>
    <n v="8.6999999999999993"/>
    <x v="1"/>
  </r>
  <r>
    <x v="5"/>
    <n v="63"/>
    <n v="13.4"/>
    <x v="1"/>
  </r>
  <r>
    <x v="5"/>
    <n v="64"/>
    <n v="4.8"/>
    <x v="1"/>
  </r>
  <r>
    <x v="5"/>
    <n v="65"/>
    <n v="1.5"/>
    <x v="1"/>
  </r>
  <r>
    <x v="5"/>
    <n v="66"/>
    <n v="5.6"/>
    <x v="1"/>
  </r>
  <r>
    <x v="5"/>
    <n v="67"/>
    <n v="8.6"/>
    <x v="1"/>
  </r>
  <r>
    <x v="5"/>
    <n v="68"/>
    <n v="5.3"/>
    <x v="1"/>
  </r>
  <r>
    <x v="5"/>
    <n v="69"/>
    <n v="1.4"/>
    <x v="1"/>
  </r>
  <r>
    <x v="5"/>
    <n v="70"/>
    <n v="31.4"/>
    <x v="1"/>
  </r>
  <r>
    <x v="5"/>
    <n v="71"/>
    <n v="1.5"/>
    <x v="1"/>
  </r>
  <r>
    <x v="5"/>
    <n v="72"/>
    <n v="1.1000000000000001"/>
    <x v="1"/>
  </r>
  <r>
    <x v="5"/>
    <n v="73"/>
    <n v="25.5"/>
    <x v="1"/>
  </r>
  <r>
    <x v="6"/>
    <n v="74"/>
    <n v="25.7"/>
    <x v="1"/>
  </r>
  <r>
    <x v="6"/>
    <n v="75"/>
    <n v="16.7"/>
    <x v="1"/>
  </r>
  <r>
    <x v="6"/>
    <n v="76"/>
    <n v="5.7"/>
    <x v="1"/>
  </r>
  <r>
    <x v="6"/>
    <n v="77"/>
    <n v="2.2999999999999998"/>
    <x v="1"/>
  </r>
  <r>
    <x v="6"/>
    <n v="78"/>
    <n v="67.8"/>
    <x v="1"/>
  </r>
  <r>
    <x v="6"/>
    <n v="79"/>
    <n v="60"/>
    <x v="1"/>
  </r>
  <r>
    <x v="6"/>
    <n v="80"/>
    <n v="2.1"/>
    <x v="1"/>
  </r>
  <r>
    <x v="6"/>
    <n v="81"/>
    <n v="37.6"/>
    <x v="1"/>
  </r>
  <r>
    <x v="6"/>
    <n v="82"/>
    <n v="32.200000000000003"/>
    <x v="1"/>
  </r>
  <r>
    <x v="6"/>
    <n v="83"/>
    <n v="95.9"/>
    <x v="1"/>
  </r>
  <r>
    <x v="6"/>
    <n v="84"/>
    <n v="24.9"/>
    <x v="1"/>
  </r>
  <r>
    <x v="6"/>
    <n v="85"/>
    <n v="21.2"/>
    <x v="1"/>
  </r>
  <r>
    <x v="6"/>
    <n v="86"/>
    <n v="2.1"/>
    <x v="1"/>
  </r>
  <r>
    <x v="6"/>
    <n v="87"/>
    <n v="5.7"/>
    <x v="1"/>
  </r>
  <r>
    <x v="6"/>
    <n v="88"/>
    <n v="2.7"/>
    <x v="1"/>
  </r>
  <r>
    <x v="6"/>
    <n v="89"/>
    <n v="13.9"/>
    <x v="1"/>
  </r>
  <r>
    <x v="6"/>
    <n v="90"/>
    <n v="64"/>
    <x v="1"/>
  </r>
  <r>
    <x v="6"/>
    <n v="91"/>
    <n v="3.5"/>
    <x v="1"/>
  </r>
  <r>
    <x v="6"/>
    <n v="92"/>
    <n v="5.3"/>
    <x v="1"/>
  </r>
  <r>
    <x v="6"/>
    <n v="93"/>
    <n v="24.9"/>
    <x v="1"/>
  </r>
  <r>
    <x v="6"/>
    <n v="94"/>
    <n v="24.2"/>
    <x v="1"/>
  </r>
  <r>
    <x v="6"/>
    <n v="95"/>
    <n v="9.9"/>
    <x v="1"/>
  </r>
  <r>
    <x v="6"/>
    <n v="96"/>
    <n v="16.399999999999999"/>
    <x v="1"/>
  </r>
  <r>
    <x v="6"/>
    <n v="97"/>
    <n v="24.4"/>
    <x v="1"/>
  </r>
  <r>
    <x v="6"/>
    <n v="98"/>
    <n v="17.100000000000001"/>
    <x v="1"/>
  </r>
  <r>
    <x v="6"/>
    <n v="99"/>
    <n v="17.3"/>
    <x v="1"/>
  </r>
  <r>
    <x v="6"/>
    <n v="100"/>
    <n v="31.9"/>
    <x v="1"/>
  </r>
  <r>
    <x v="6"/>
    <n v="101"/>
    <n v="7.9"/>
    <x v="1"/>
  </r>
  <r>
    <x v="6"/>
    <n v="102"/>
    <n v="8.6999999999999993"/>
    <x v="1"/>
  </r>
  <r>
    <x v="7"/>
    <n v="103"/>
    <n v="7.9"/>
    <x v="1"/>
  </r>
  <r>
    <x v="7"/>
    <n v="104"/>
    <n v="30.2"/>
    <x v="1"/>
  </r>
  <r>
    <x v="7"/>
    <n v="105"/>
    <n v="6.5"/>
    <x v="1"/>
  </r>
  <r>
    <x v="7"/>
    <n v="106"/>
    <n v="14.7"/>
    <x v="1"/>
  </r>
  <r>
    <x v="7"/>
    <n v="107"/>
    <n v="8.3000000000000007"/>
    <x v="1"/>
  </r>
  <r>
    <x v="7"/>
    <n v="108"/>
    <n v="2"/>
    <x v="1"/>
  </r>
  <r>
    <x v="7"/>
    <n v="109"/>
    <n v="1.5"/>
    <x v="1"/>
  </r>
  <r>
    <x v="7"/>
    <n v="110"/>
    <n v="5.7"/>
    <x v="1"/>
  </r>
  <r>
    <x v="7"/>
    <n v="111"/>
    <n v="8.8000000000000007"/>
    <x v="1"/>
  </r>
  <r>
    <x v="7"/>
    <n v="112"/>
    <n v="1.6"/>
    <x v="1"/>
  </r>
  <r>
    <x v="7"/>
    <n v="113"/>
    <n v="1"/>
    <x v="1"/>
  </r>
  <r>
    <x v="7"/>
    <n v="114"/>
    <n v="40.200000000000003"/>
    <x v="1"/>
  </r>
  <r>
    <x v="7"/>
    <n v="115"/>
    <n v="92.1"/>
    <x v="1"/>
  </r>
  <r>
    <x v="7"/>
    <n v="117"/>
    <n v="23.9"/>
    <x v="1"/>
  </r>
  <r>
    <x v="7"/>
    <n v="118"/>
    <n v="50"/>
    <x v="1"/>
  </r>
  <r>
    <x v="7"/>
    <n v="119"/>
    <n v="25.2"/>
    <x v="1"/>
  </r>
  <r>
    <x v="7"/>
    <n v="120"/>
    <n v="5.0999999999999996"/>
    <x v="1"/>
  </r>
  <r>
    <x v="7"/>
    <n v="121"/>
    <n v="69.3"/>
    <x v="1"/>
  </r>
  <r>
    <x v="8"/>
    <n v="122"/>
    <n v="23.4"/>
    <x v="1"/>
  </r>
  <r>
    <x v="8"/>
    <n v="123"/>
    <n v="14.9"/>
    <x v="1"/>
  </r>
  <r>
    <x v="8"/>
    <n v="124"/>
    <n v="11.4"/>
    <x v="1"/>
  </r>
  <r>
    <x v="8"/>
    <n v="125"/>
    <n v="40.200000000000003"/>
    <x v="1"/>
  </r>
  <r>
    <x v="8"/>
    <n v="126"/>
    <n v="1.6"/>
    <x v="1"/>
  </r>
  <r>
    <x v="8"/>
    <n v="127"/>
    <n v="1"/>
    <x v="1"/>
  </r>
  <r>
    <x v="8"/>
    <n v="128"/>
    <n v="15.3"/>
    <x v="1"/>
  </r>
  <r>
    <x v="8"/>
    <n v="129"/>
    <n v="12.6"/>
    <x v="1"/>
  </r>
  <r>
    <x v="8"/>
    <n v="130"/>
    <n v="244"/>
    <x v="1"/>
  </r>
  <r>
    <x v="8"/>
    <n v="131"/>
    <n v="3.6"/>
    <x v="1"/>
  </r>
  <r>
    <x v="8"/>
    <n v="132"/>
    <n v="6.8"/>
    <x v="1"/>
  </r>
  <r>
    <x v="8"/>
    <n v="133"/>
    <n v="4"/>
    <x v="1"/>
  </r>
  <r>
    <x v="8"/>
    <n v="134"/>
    <n v="13"/>
    <x v="1"/>
  </r>
  <r>
    <x v="8"/>
    <n v="135"/>
    <n v="155"/>
    <x v="1"/>
  </r>
  <r>
    <x v="8"/>
    <n v="136"/>
    <n v="2.2999999999999998"/>
    <x v="1"/>
  </r>
  <r>
    <x v="8"/>
    <n v="137"/>
    <n v="15.7"/>
    <x v="1"/>
  </r>
  <r>
    <x v="8"/>
    <n v="138"/>
    <n v="5.0999999999999996"/>
    <x v="1"/>
  </r>
  <r>
    <x v="8"/>
    <n v="139"/>
    <n v="1"/>
    <x v="1"/>
  </r>
  <r>
    <x v="8"/>
    <n v="140"/>
    <n v="13.3"/>
    <x v="1"/>
  </r>
  <r>
    <x v="8"/>
    <n v="141"/>
    <n v="16"/>
    <x v="1"/>
  </r>
  <r>
    <x v="8"/>
    <n v="142"/>
    <n v="4.9000000000000004"/>
    <x v="1"/>
  </r>
  <r>
    <x v="8"/>
    <n v="143"/>
    <n v="8.3000000000000007"/>
    <x v="1"/>
  </r>
  <r>
    <x v="8"/>
    <n v="144"/>
    <n v="27.5"/>
    <x v="1"/>
  </r>
  <r>
    <x v="8"/>
    <n v="145"/>
    <n v="2"/>
    <x v="1"/>
  </r>
  <r>
    <x v="9"/>
    <n v="146"/>
    <n v="13.6"/>
    <x v="1"/>
  </r>
  <r>
    <x v="9"/>
    <n v="147"/>
    <n v="3.5"/>
    <x v="1"/>
  </r>
  <r>
    <x v="9"/>
    <n v="148"/>
    <n v="16.899999999999999"/>
    <x v="1"/>
  </r>
  <r>
    <x v="9"/>
    <n v="149"/>
    <n v="31.8"/>
    <x v="1"/>
  </r>
  <r>
    <x v="9"/>
    <n v="150"/>
    <n v="25.1"/>
    <x v="1"/>
  </r>
  <r>
    <x v="9"/>
    <n v="151"/>
    <n v="21.1"/>
    <x v="1"/>
  </r>
  <r>
    <x v="9"/>
    <n v="152"/>
    <n v="51"/>
    <x v="1"/>
  </r>
  <r>
    <x v="9"/>
    <n v="153"/>
    <n v="72.900000000000006"/>
    <x v="1"/>
  </r>
  <r>
    <x v="9"/>
    <n v="154"/>
    <n v="12.4"/>
    <x v="1"/>
  </r>
  <r>
    <x v="9"/>
    <n v="155"/>
    <n v="4"/>
    <x v="1"/>
  </r>
  <r>
    <x v="9"/>
    <n v="156"/>
    <n v="12.8"/>
    <x v="1"/>
  </r>
  <r>
    <x v="9"/>
    <n v="157"/>
    <n v="5.2"/>
    <x v="1"/>
  </r>
  <r>
    <x v="9"/>
    <n v="158"/>
    <n v="3.4"/>
    <x v="1"/>
  </r>
  <r>
    <x v="9"/>
    <n v="159"/>
    <n v="2.6"/>
    <x v="1"/>
  </r>
  <r>
    <x v="10"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9">
  <r>
    <x v="0"/>
    <n v="1"/>
    <n v="4.2"/>
    <x v="0"/>
    <d v="2015-07-17T00:00:00"/>
    <s v="Downstream"/>
  </r>
  <r>
    <x v="0"/>
    <n v="2"/>
    <n v="19.3"/>
    <x v="0"/>
    <d v="2015-07-17T00:00:00"/>
    <s v="Downstream"/>
  </r>
  <r>
    <x v="0"/>
    <n v="3"/>
    <n v="19.8"/>
    <x v="0"/>
    <d v="2015-07-17T00:00:00"/>
    <s v="Downstream"/>
  </r>
  <r>
    <x v="0"/>
    <n v="4"/>
    <n v="27.3"/>
    <x v="0"/>
    <d v="2015-07-17T00:00:00"/>
    <s v="Downstream"/>
  </r>
  <r>
    <x v="0"/>
    <n v="5"/>
    <n v="11.7"/>
    <x v="0"/>
    <d v="2015-07-17T00:00:00"/>
    <s v="Downstream"/>
  </r>
  <r>
    <x v="0"/>
    <n v="6"/>
    <n v="1"/>
    <x v="0"/>
    <d v="2015-07-17T00:00:00"/>
    <s v="Downstream"/>
  </r>
  <r>
    <x v="0"/>
    <n v="7"/>
    <n v="1.5"/>
    <x v="0"/>
    <d v="2015-07-17T00:00:00"/>
    <s v="Downstream"/>
  </r>
  <r>
    <x v="0"/>
    <n v="8"/>
    <n v="32.1"/>
    <x v="0"/>
    <d v="2015-07-17T00:00:00"/>
    <s v="Downstream"/>
  </r>
  <r>
    <x v="0"/>
    <n v="9"/>
    <n v="89.3"/>
    <x v="0"/>
    <d v="2015-07-17T00:00:00"/>
    <s v="Downstream"/>
  </r>
  <r>
    <x v="0"/>
    <n v="10"/>
    <n v="29.2"/>
    <x v="0"/>
    <d v="2015-07-17T00:00:00"/>
    <s v="Downstream"/>
  </r>
  <r>
    <x v="0"/>
    <n v="11"/>
    <n v="23.9"/>
    <x v="0"/>
    <d v="2015-07-17T00:00:00"/>
    <s v="Downstream"/>
  </r>
  <r>
    <x v="0"/>
    <n v="12"/>
    <n v="19.399999999999999"/>
    <x v="0"/>
    <d v="2015-07-17T00:00:00"/>
    <s v="Downstream"/>
  </r>
  <r>
    <x v="0"/>
    <n v="13"/>
    <n v="1.4"/>
    <x v="0"/>
    <d v="2015-07-17T00:00:00"/>
    <s v="Downstream"/>
  </r>
  <r>
    <x v="0"/>
    <n v="14"/>
    <n v="1.4"/>
    <x v="0"/>
    <d v="2015-07-17T00:00:00"/>
    <s v="Downstream"/>
  </r>
  <r>
    <x v="0"/>
    <n v="15"/>
    <n v="9.6"/>
    <x v="0"/>
    <d v="2015-07-17T00:00:00"/>
    <s v="Downstream"/>
  </r>
  <r>
    <x v="0"/>
    <n v="16"/>
    <n v="36.799999999999997"/>
    <x v="0"/>
    <d v="2015-07-17T00:00:00"/>
    <s v="Downstream"/>
  </r>
  <r>
    <x v="0"/>
    <n v="17"/>
    <n v="10.4"/>
    <x v="0"/>
    <d v="2015-07-17T00:00:00"/>
    <s v="Downstream"/>
  </r>
  <r>
    <x v="0"/>
    <n v="18"/>
    <n v="2.8"/>
    <x v="0"/>
    <d v="2015-07-17T00:00:00"/>
    <s v="Downstream"/>
  </r>
  <r>
    <x v="0"/>
    <n v="19"/>
    <n v="9.1999999999999993"/>
    <x v="0"/>
    <d v="2015-07-17T00:00:00"/>
    <s v="Downstream"/>
  </r>
  <r>
    <x v="0"/>
    <n v="20"/>
    <n v="2.5"/>
    <x v="0"/>
    <d v="2015-07-17T00:00:00"/>
    <s v="Downstream"/>
  </r>
  <r>
    <x v="0"/>
    <n v="21"/>
    <n v="3.8"/>
    <x v="0"/>
    <d v="2015-07-17T00:00:00"/>
    <s v="Downstream"/>
  </r>
  <r>
    <x v="0"/>
    <n v="22"/>
    <n v="22.1"/>
    <x v="0"/>
    <d v="2015-07-17T00:00:00"/>
    <s v="Downstream"/>
  </r>
  <r>
    <x v="0"/>
    <n v="1"/>
    <n v="2.2000000000000002"/>
    <x v="1"/>
    <d v="2022-09-10T00:00:00"/>
    <s v="Downstream"/>
  </r>
  <r>
    <x v="0"/>
    <n v="2"/>
    <n v="4.2"/>
    <x v="1"/>
    <d v="2022-09-10T00:00:00"/>
    <s v="Downstream"/>
  </r>
  <r>
    <x v="0"/>
    <n v="3"/>
    <n v="2.7"/>
    <x v="1"/>
    <d v="2022-09-10T00:00:00"/>
    <s v="Downstream"/>
  </r>
  <r>
    <x v="0"/>
    <n v="4"/>
    <n v="0.8"/>
    <x v="1"/>
    <d v="2022-09-10T00:00:00"/>
    <s v="Downstream"/>
  </r>
  <r>
    <x v="0"/>
    <n v="5"/>
    <n v="22"/>
    <x v="1"/>
    <d v="2022-09-10T00:00:00"/>
    <s v="Downstream"/>
  </r>
  <r>
    <x v="0"/>
    <n v="6"/>
    <n v="2.6"/>
    <x v="1"/>
    <d v="2022-09-10T00:00:00"/>
    <s v="Downstream"/>
  </r>
  <r>
    <x v="0"/>
    <n v="7"/>
    <n v="1.6"/>
    <x v="1"/>
    <d v="2022-09-10T00:00:00"/>
    <s v="Downstream"/>
  </r>
  <r>
    <x v="0"/>
    <n v="8"/>
    <n v="2.2999999999999998"/>
    <x v="1"/>
    <d v="2022-09-10T00:00:00"/>
    <s v="Downstream"/>
  </r>
  <r>
    <x v="0"/>
    <n v="9"/>
    <n v="0.7"/>
    <x v="1"/>
    <d v="2022-09-10T00:00:00"/>
    <s v="Downstream"/>
  </r>
  <r>
    <x v="0"/>
    <n v="10"/>
    <n v="1.3"/>
    <x v="1"/>
    <d v="2022-09-10T00:00:00"/>
    <s v="Downstream"/>
  </r>
  <r>
    <x v="0"/>
    <n v="11"/>
    <n v="4.0999999999999996"/>
    <x v="1"/>
    <d v="2022-09-10T00:00:00"/>
    <s v="Downstream"/>
  </r>
  <r>
    <x v="0"/>
    <n v="12"/>
    <n v="22.8"/>
    <x v="1"/>
    <d v="2022-09-10T00:00:00"/>
    <s v="Downstream"/>
  </r>
  <r>
    <x v="0"/>
    <n v="13"/>
    <n v="3.8"/>
    <x v="1"/>
    <d v="2022-09-10T00:00:00"/>
    <s v="Downstream"/>
  </r>
  <r>
    <x v="0"/>
    <n v="14"/>
    <n v="8.9"/>
    <x v="1"/>
    <d v="2022-09-10T00:00:00"/>
    <s v="Downstream"/>
  </r>
  <r>
    <x v="1"/>
    <n v="23"/>
    <n v="7.9"/>
    <x v="0"/>
    <d v="2015-07-17T00:00:00"/>
    <s v="Downstream"/>
  </r>
  <r>
    <x v="1"/>
    <n v="24"/>
    <n v="5.2"/>
    <x v="0"/>
    <d v="2015-07-17T00:00:00"/>
    <s v="Downstream"/>
  </r>
  <r>
    <x v="1"/>
    <n v="25"/>
    <n v="25.5"/>
    <x v="0"/>
    <d v="2015-07-17T00:00:00"/>
    <s v="Downstream"/>
  </r>
  <r>
    <x v="1"/>
    <n v="26"/>
    <n v="3"/>
    <x v="0"/>
    <d v="2015-07-17T00:00:00"/>
    <s v="Downstream"/>
  </r>
  <r>
    <x v="1"/>
    <n v="27"/>
    <n v="10.4"/>
    <x v="0"/>
    <d v="2015-07-17T00:00:00"/>
    <s v="Downstream"/>
  </r>
  <r>
    <x v="1"/>
    <n v="28"/>
    <n v="3.8"/>
    <x v="0"/>
    <d v="2015-07-17T00:00:00"/>
    <s v="Downstream"/>
  </r>
  <r>
    <x v="1"/>
    <n v="29"/>
    <n v="19.899999999999999"/>
    <x v="0"/>
    <d v="2015-07-17T00:00:00"/>
    <s v="Downstream"/>
  </r>
  <r>
    <x v="1"/>
    <n v="30"/>
    <n v="11.8"/>
    <x v="0"/>
    <d v="2015-07-17T00:00:00"/>
    <s v="Downstream"/>
  </r>
  <r>
    <x v="1"/>
    <n v="31"/>
    <n v="3.3"/>
    <x v="0"/>
    <d v="2015-07-17T00:00:00"/>
    <s v="Downstream"/>
  </r>
  <r>
    <x v="1"/>
    <n v="32"/>
    <n v="6.4"/>
    <x v="0"/>
    <d v="2015-07-17T00:00:00"/>
    <s v="Downstream"/>
  </r>
  <r>
    <x v="1"/>
    <n v="33"/>
    <n v="1.5"/>
    <x v="0"/>
    <d v="2015-07-17T00:00:00"/>
    <s v="Downstream"/>
  </r>
  <r>
    <x v="1"/>
    <n v="15"/>
    <n v="3.5"/>
    <x v="1"/>
    <d v="2022-09-10T00:00:00"/>
    <s v="Downstream"/>
  </r>
  <r>
    <x v="1"/>
    <n v="16"/>
    <n v="4.0999999999999996"/>
    <x v="1"/>
    <d v="2022-09-10T00:00:00"/>
    <s v="Downstream"/>
  </r>
  <r>
    <x v="1"/>
    <n v="17"/>
    <n v="4.0999999999999996"/>
    <x v="1"/>
    <d v="2022-09-10T00:00:00"/>
    <s v="Downstream"/>
  </r>
  <r>
    <x v="1"/>
    <n v="18"/>
    <n v="1.8"/>
    <x v="1"/>
    <d v="2022-09-10T00:00:00"/>
    <s v="Downstream"/>
  </r>
  <r>
    <x v="2"/>
    <n v="34"/>
    <n v="22.4"/>
    <x v="0"/>
    <d v="2015-07-20T00:00:00"/>
    <s v="Downstream"/>
  </r>
  <r>
    <x v="2"/>
    <n v="35"/>
    <n v="1"/>
    <x v="0"/>
    <d v="2015-07-20T00:00:00"/>
    <s v="Downstream"/>
  </r>
  <r>
    <x v="2"/>
    <n v="36"/>
    <n v="10.5"/>
    <x v="0"/>
    <d v="2015-07-20T00:00:00"/>
    <s v="Downstream"/>
  </r>
  <r>
    <x v="2"/>
    <n v="37"/>
    <n v="6.2"/>
    <x v="0"/>
    <d v="2015-07-20T00:00:00"/>
    <s v="Downstream"/>
  </r>
  <r>
    <x v="2"/>
    <n v="38"/>
    <n v="33.6"/>
    <x v="0"/>
    <d v="2015-07-20T00:00:00"/>
    <s v="Downstream"/>
  </r>
  <r>
    <x v="2"/>
    <n v="39"/>
    <n v="19.7"/>
    <x v="0"/>
    <d v="2015-07-20T00:00:00"/>
    <s v="Downstream"/>
  </r>
  <r>
    <x v="2"/>
    <n v="40"/>
    <n v="1.2"/>
    <x v="0"/>
    <d v="2015-07-20T00:00:00"/>
    <s v="Downstream"/>
  </r>
  <r>
    <x v="2"/>
    <n v="41"/>
    <n v="9.9"/>
    <x v="0"/>
    <d v="2015-07-20T00:00:00"/>
    <s v="Downstream"/>
  </r>
  <r>
    <x v="2"/>
    <n v="42"/>
    <n v="5.2"/>
    <x v="0"/>
    <d v="2015-07-20T00:00:00"/>
    <s v="Downstream"/>
  </r>
  <r>
    <x v="2"/>
    <n v="43"/>
    <n v="4.8"/>
    <x v="0"/>
    <d v="2015-07-20T00:00:00"/>
    <s v="Downstream"/>
  </r>
  <r>
    <x v="2"/>
    <n v="44"/>
    <n v="26.3"/>
    <x v="0"/>
    <d v="2015-07-20T00:00:00"/>
    <s v="Downstream"/>
  </r>
  <r>
    <x v="2"/>
    <n v="45"/>
    <n v="10.5"/>
    <x v="0"/>
    <d v="2015-07-20T00:00:00"/>
    <s v="Downstream"/>
  </r>
  <r>
    <x v="2"/>
    <n v="46"/>
    <n v="14.4"/>
    <x v="0"/>
    <d v="2015-07-20T00:00:00"/>
    <s v="Downstream"/>
  </r>
  <r>
    <x v="2"/>
    <n v="47"/>
    <n v="28"/>
    <x v="0"/>
    <d v="2015-07-20T00:00:00"/>
    <s v="Downstream"/>
  </r>
  <r>
    <x v="2"/>
    <n v="19"/>
    <n v="5.3"/>
    <x v="1"/>
    <d v="2022-09-10T00:00:00"/>
    <s v="Downstream"/>
  </r>
  <r>
    <x v="2"/>
    <n v="20"/>
    <n v="0.7"/>
    <x v="1"/>
    <d v="2022-09-10T00:00:00"/>
    <s v="Downstream"/>
  </r>
  <r>
    <x v="2"/>
    <n v="21"/>
    <n v="31.4"/>
    <x v="1"/>
    <d v="2022-09-10T00:00:00"/>
    <s v="Downstream"/>
  </r>
  <r>
    <x v="2"/>
    <n v="22"/>
    <n v="2.9"/>
    <x v="1"/>
    <d v="2022-09-10T00:00:00"/>
    <s v="Downstream"/>
  </r>
  <r>
    <x v="2"/>
    <n v="23"/>
    <n v="0.3"/>
    <x v="1"/>
    <d v="2022-09-10T00:00:00"/>
    <s v="Downstream"/>
  </r>
  <r>
    <x v="2"/>
    <n v="24"/>
    <n v="8.3000000000000007"/>
    <x v="1"/>
    <d v="2022-09-10T00:00:00"/>
    <s v="Downstream"/>
  </r>
  <r>
    <x v="3"/>
    <n v="48"/>
    <n v="1.3"/>
    <x v="0"/>
    <d v="2015-07-20T00:00:00"/>
    <s v="Downstream"/>
  </r>
  <r>
    <x v="3"/>
    <n v="49"/>
    <n v="20.8"/>
    <x v="0"/>
    <d v="2015-07-20T00:00:00"/>
    <s v="Downstream"/>
  </r>
  <r>
    <x v="3"/>
    <n v="50"/>
    <n v="6.3"/>
    <x v="0"/>
    <d v="2015-07-20T00:00:00"/>
    <s v="Downstream"/>
  </r>
  <r>
    <x v="3"/>
    <n v="51"/>
    <n v="4.7"/>
    <x v="0"/>
    <d v="2015-07-20T00:00:00"/>
    <s v="Downstream"/>
  </r>
  <r>
    <x v="3"/>
    <n v="52"/>
    <n v="20.3"/>
    <x v="0"/>
    <d v="2015-07-20T00:00:00"/>
    <s v="Downstream"/>
  </r>
  <r>
    <x v="3"/>
    <n v="53"/>
    <n v="1"/>
    <x v="0"/>
    <d v="2015-07-20T00:00:00"/>
    <s v="Downstream"/>
  </r>
  <r>
    <x v="3"/>
    <n v="54"/>
    <n v="8"/>
    <x v="0"/>
    <d v="2015-07-20T00:00:00"/>
    <s v="Downstream"/>
  </r>
  <r>
    <x v="3"/>
    <n v="55"/>
    <n v="33.4"/>
    <x v="0"/>
    <d v="2015-07-20T00:00:00"/>
    <s v="Downstream"/>
  </r>
  <r>
    <x v="3"/>
    <n v="56"/>
    <n v="0.8"/>
    <x v="0"/>
    <d v="2015-07-20T00:00:00"/>
    <s v="Downstream"/>
  </r>
  <r>
    <x v="3"/>
    <n v="57"/>
    <n v="0.7"/>
    <x v="0"/>
    <d v="2015-07-20T00:00:00"/>
    <s v="Downstream"/>
  </r>
  <r>
    <x v="3"/>
    <n v="58"/>
    <n v="3.8"/>
    <x v="0"/>
    <d v="2015-07-20T00:00:00"/>
    <s v="Downstream"/>
  </r>
  <r>
    <x v="3"/>
    <n v="59"/>
    <n v="4.8"/>
    <x v="0"/>
    <d v="2015-07-20T00:00:00"/>
    <s v="Downstream"/>
  </r>
  <r>
    <x v="3"/>
    <n v="60"/>
    <n v="0.9"/>
    <x v="0"/>
    <d v="2015-07-20T00:00:00"/>
    <s v="Downstream"/>
  </r>
  <r>
    <x v="3"/>
    <n v="61"/>
    <n v="13.4"/>
    <x v="0"/>
    <d v="2015-07-20T00:00:00"/>
    <s v="Downstream"/>
  </r>
  <r>
    <x v="3"/>
    <n v="62"/>
    <n v="42.5"/>
    <x v="0"/>
    <d v="2015-07-20T00:00:00"/>
    <s v="Downstream"/>
  </r>
  <r>
    <x v="3"/>
    <n v="63"/>
    <n v="19.7"/>
    <x v="0"/>
    <d v="2015-07-20T00:00:00"/>
    <s v="Downstream"/>
  </r>
  <r>
    <x v="3"/>
    <n v="25"/>
    <n v="16.100000000000001"/>
    <x v="1"/>
    <d v="2022-09-10T00:00:00"/>
    <s v="Downstream"/>
  </r>
  <r>
    <x v="3"/>
    <n v="26"/>
    <n v="6.9"/>
    <x v="1"/>
    <d v="2022-09-10T00:00:00"/>
    <s v="Downstream"/>
  </r>
  <r>
    <x v="3"/>
    <n v="27"/>
    <n v="0.9"/>
    <x v="1"/>
    <d v="2022-09-10T00:00:00"/>
    <s v="Downstream"/>
  </r>
  <r>
    <x v="3"/>
    <n v="28"/>
    <n v="0.6"/>
    <x v="1"/>
    <d v="2022-09-10T00:00:00"/>
    <s v="Downstream"/>
  </r>
  <r>
    <x v="3"/>
    <n v="29"/>
    <n v="1"/>
    <x v="1"/>
    <d v="2022-09-10T00:00:00"/>
    <s v="Downstream"/>
  </r>
  <r>
    <x v="3"/>
    <n v="30"/>
    <n v="5.3"/>
    <x v="1"/>
    <d v="2022-09-10T00:00:00"/>
    <s v="Downstream"/>
  </r>
  <r>
    <x v="3"/>
    <n v="31"/>
    <n v="5"/>
    <x v="1"/>
    <d v="2022-09-10T00:00:00"/>
    <s v="Downstream"/>
  </r>
  <r>
    <x v="3"/>
    <n v="32"/>
    <n v="1.9"/>
    <x v="1"/>
    <d v="2022-09-10T00:00:00"/>
    <s v="Downstream"/>
  </r>
  <r>
    <x v="3"/>
    <n v="33"/>
    <n v="6.1"/>
    <x v="1"/>
    <d v="2022-09-10T00:00:00"/>
    <s v="Downstream"/>
  </r>
  <r>
    <x v="3"/>
    <n v="34"/>
    <n v="3.5"/>
    <x v="1"/>
    <d v="2022-09-10T00:00:00"/>
    <s v="Downstream"/>
  </r>
  <r>
    <x v="3"/>
    <n v="35"/>
    <n v="8.4"/>
    <x v="1"/>
    <d v="2022-09-10T00:00:00"/>
    <s v="Downstream"/>
  </r>
  <r>
    <x v="3"/>
    <n v="36"/>
    <n v="0.2"/>
    <x v="1"/>
    <d v="2022-09-10T00:00:00"/>
    <s v="Downstream"/>
  </r>
  <r>
    <x v="3"/>
    <n v="37"/>
    <n v="12.9"/>
    <x v="1"/>
    <d v="2022-09-10T00:00:00"/>
    <s v="Downstream"/>
  </r>
  <r>
    <x v="3"/>
    <n v="38"/>
    <n v="2.8"/>
    <x v="1"/>
    <d v="2022-09-10T00:00:00"/>
    <s v="Downstream"/>
  </r>
  <r>
    <x v="3"/>
    <n v="39"/>
    <n v="50.9"/>
    <x v="1"/>
    <d v="2022-09-10T00:00:00"/>
    <s v="Downstream"/>
  </r>
  <r>
    <x v="3"/>
    <n v="40"/>
    <n v="16.8"/>
    <x v="1"/>
    <d v="2022-09-10T00:00:00"/>
    <s v="Downstream"/>
  </r>
  <r>
    <x v="3"/>
    <n v="41"/>
    <n v="2.6"/>
    <x v="1"/>
    <d v="2022-09-10T00:00:00"/>
    <s v="Downstream"/>
  </r>
  <r>
    <x v="3"/>
    <n v="42"/>
    <n v="3.1"/>
    <x v="1"/>
    <d v="2022-09-10T00:00:00"/>
    <s v="Downstream"/>
  </r>
  <r>
    <x v="3"/>
    <n v="43"/>
    <n v="0.4"/>
    <x v="1"/>
    <d v="2022-09-10T00:00:00"/>
    <s v="Downstream"/>
  </r>
  <r>
    <x v="4"/>
    <n v="64"/>
    <n v="42.5"/>
    <x v="0"/>
    <d v="2015-07-17T00:00:00"/>
    <s v="Downstream"/>
  </r>
  <r>
    <x v="4"/>
    <n v="65"/>
    <n v="9.9"/>
    <x v="0"/>
    <d v="2015-07-17T00:00:00"/>
    <s v="Downstream"/>
  </r>
  <r>
    <x v="4"/>
    <n v="66"/>
    <n v="53"/>
    <x v="0"/>
    <d v="2015-07-17T00:00:00"/>
    <s v="Downstream"/>
  </r>
  <r>
    <x v="4"/>
    <n v="67"/>
    <n v="27.4"/>
    <x v="0"/>
    <d v="2015-07-17T00:00:00"/>
    <s v="Downstream"/>
  </r>
  <r>
    <x v="4"/>
    <n v="68"/>
    <n v="27.8"/>
    <x v="0"/>
    <d v="2015-07-17T00:00:00"/>
    <s v="Downstream"/>
  </r>
  <r>
    <x v="4"/>
    <n v="69"/>
    <n v="1.2"/>
    <x v="0"/>
    <d v="2015-07-17T00:00:00"/>
    <s v="Downstream"/>
  </r>
  <r>
    <x v="4"/>
    <n v="70"/>
    <n v="2.1"/>
    <x v="0"/>
    <d v="2015-07-17T00:00:00"/>
    <s v="Downstream"/>
  </r>
  <r>
    <x v="4"/>
    <n v="71"/>
    <n v="58.7"/>
    <x v="0"/>
    <d v="2015-07-17T00:00:00"/>
    <s v="Downstream"/>
  </r>
  <r>
    <x v="4"/>
    <n v="72"/>
    <n v="16.600000000000001"/>
    <x v="0"/>
    <d v="2015-07-17T00:00:00"/>
    <s v="Downstream"/>
  </r>
  <r>
    <x v="4"/>
    <n v="73"/>
    <n v="0.4"/>
    <x v="0"/>
    <d v="2015-07-17T00:00:00"/>
    <s v="Downstream"/>
  </r>
  <r>
    <x v="4"/>
    <n v="74"/>
    <n v="0.4"/>
    <x v="0"/>
    <d v="2015-07-17T00:00:00"/>
    <s v="Downstream"/>
  </r>
  <r>
    <x v="4"/>
    <n v="75"/>
    <n v="7.8"/>
    <x v="0"/>
    <d v="2015-07-17T00:00:00"/>
    <s v="Downstream"/>
  </r>
  <r>
    <x v="4"/>
    <n v="76"/>
    <n v="24.4"/>
    <x v="0"/>
    <d v="2015-07-17T00:00:00"/>
    <s v="Downstream"/>
  </r>
  <r>
    <x v="4"/>
    <n v="77"/>
    <n v="2.2999999999999998"/>
    <x v="0"/>
    <d v="2015-07-17T00:00:00"/>
    <s v="Downstream"/>
  </r>
  <r>
    <x v="4"/>
    <n v="78"/>
    <n v="4.8"/>
    <x v="0"/>
    <d v="2015-07-17T00:00:00"/>
    <s v="Downstream"/>
  </r>
  <r>
    <x v="4"/>
    <n v="79"/>
    <n v="25.1"/>
    <x v="0"/>
    <d v="2015-07-17T00:00:00"/>
    <s v="Downstream"/>
  </r>
  <r>
    <x v="4"/>
    <n v="80"/>
    <n v="5.6"/>
    <x v="0"/>
    <d v="2015-07-17T00:00:00"/>
    <s v="Downstream"/>
  </r>
  <r>
    <x v="4"/>
    <n v="81"/>
    <n v="10"/>
    <x v="0"/>
    <d v="2015-07-17T00:00:00"/>
    <s v="Downstream"/>
  </r>
  <r>
    <x v="4"/>
    <n v="82"/>
    <n v="1.1000000000000001"/>
    <x v="0"/>
    <d v="2015-07-17T00:00:00"/>
    <s v="Downstream"/>
  </r>
  <r>
    <x v="4"/>
    <n v="83"/>
    <n v="3.7"/>
    <x v="0"/>
    <d v="2015-07-17T00:00:00"/>
    <s v="Downstream"/>
  </r>
  <r>
    <x v="4"/>
    <n v="84"/>
    <n v="36.5"/>
    <x v="0"/>
    <d v="2015-07-17T00:00:00"/>
    <s v="Downstream"/>
  </r>
  <r>
    <x v="4"/>
    <n v="85"/>
    <n v="6.9"/>
    <x v="0"/>
    <d v="2015-07-17T00:00:00"/>
    <s v="Downstream"/>
  </r>
  <r>
    <x v="4"/>
    <n v="86"/>
    <n v="11"/>
    <x v="0"/>
    <d v="2015-07-17T00:00:00"/>
    <s v="Downstream"/>
  </r>
  <r>
    <x v="4"/>
    <n v="87"/>
    <n v="27.4"/>
    <x v="0"/>
    <d v="2015-07-17T00:00:00"/>
    <s v="Downstream"/>
  </r>
  <r>
    <x v="4"/>
    <n v="88"/>
    <n v="28.8"/>
    <x v="0"/>
    <d v="2015-07-17T00:00:00"/>
    <s v="Downstream"/>
  </r>
  <r>
    <x v="4"/>
    <n v="44"/>
    <n v="1.6"/>
    <x v="1"/>
    <d v="2022-09-10T00:00:00"/>
    <s v="Downstream"/>
  </r>
  <r>
    <x v="4"/>
    <n v="45"/>
    <n v="2.9"/>
    <x v="1"/>
    <d v="2022-09-10T00:00:00"/>
    <s v="Downstream"/>
  </r>
  <r>
    <x v="4"/>
    <n v="46"/>
    <n v="6.1"/>
    <x v="1"/>
    <d v="2022-09-10T00:00:00"/>
    <s v="Downstream"/>
  </r>
  <r>
    <x v="4"/>
    <n v="47"/>
    <n v="0.4"/>
    <x v="1"/>
    <d v="2022-09-10T00:00:00"/>
    <s v="Downstream"/>
  </r>
  <r>
    <x v="4"/>
    <n v="48"/>
    <n v="12.5"/>
    <x v="1"/>
    <d v="2022-09-10T00:00:00"/>
    <s v="Downstream"/>
  </r>
  <r>
    <x v="4"/>
    <n v="49"/>
    <n v="4.4000000000000004"/>
    <x v="1"/>
    <d v="2022-09-10T00:00:00"/>
    <s v="Downstream"/>
  </r>
  <r>
    <x v="4"/>
    <n v="50"/>
    <n v="17.8"/>
    <x v="1"/>
    <d v="2022-09-10T00:00:00"/>
    <s v="Downstream"/>
  </r>
  <r>
    <x v="5"/>
    <n v="1"/>
    <n v="85.9"/>
    <x v="0"/>
    <d v="2015-07-17T00:00:00"/>
    <s v="Upstream"/>
  </r>
  <r>
    <x v="5"/>
    <n v="2"/>
    <n v="27.3"/>
    <x v="0"/>
    <d v="2015-07-17T00:00:00"/>
    <s v="Upstream"/>
  </r>
  <r>
    <x v="5"/>
    <n v="3"/>
    <n v="60.6"/>
    <x v="0"/>
    <d v="2015-07-17T00:00:00"/>
    <s v="Upstream"/>
  </r>
  <r>
    <x v="5"/>
    <n v="4"/>
    <n v="31"/>
    <x v="0"/>
    <d v="2015-07-17T00:00:00"/>
    <s v="Upstream"/>
  </r>
  <r>
    <x v="5"/>
    <n v="5"/>
    <n v="27.7"/>
    <x v="0"/>
    <d v="2015-07-17T00:00:00"/>
    <s v="Upstream"/>
  </r>
  <r>
    <x v="5"/>
    <n v="6"/>
    <n v="35.1"/>
    <x v="0"/>
    <d v="2015-07-17T00:00:00"/>
    <s v="Upstream"/>
  </r>
  <r>
    <x v="5"/>
    <n v="7"/>
    <n v="4.5"/>
    <x v="0"/>
    <d v="2015-07-17T00:00:00"/>
    <s v="Upstream"/>
  </r>
  <r>
    <x v="5"/>
    <n v="8"/>
    <n v="6.6"/>
    <x v="0"/>
    <d v="2015-07-17T00:00:00"/>
    <s v="Upstream"/>
  </r>
  <r>
    <x v="5"/>
    <n v="9"/>
    <n v="7.8"/>
    <x v="0"/>
    <d v="2015-07-17T00:00:00"/>
    <s v="Upstream"/>
  </r>
  <r>
    <x v="5"/>
    <n v="10"/>
    <n v="12.9"/>
    <x v="0"/>
    <d v="2015-07-17T00:00:00"/>
    <s v="Upstream"/>
  </r>
  <r>
    <x v="5"/>
    <n v="11"/>
    <n v="24.2"/>
    <x v="0"/>
    <d v="2015-07-17T00:00:00"/>
    <s v="Upstream"/>
  </r>
  <r>
    <x v="5"/>
    <n v="12"/>
    <n v="0.4"/>
    <x v="0"/>
    <d v="2015-07-17T00:00:00"/>
    <s v="Upstream"/>
  </r>
  <r>
    <x v="5"/>
    <n v="13"/>
    <n v="3.4"/>
    <x v="0"/>
    <d v="2015-07-17T00:00:00"/>
    <s v="Upstream"/>
  </r>
  <r>
    <x v="5"/>
    <n v="14"/>
    <n v="2.6"/>
    <x v="0"/>
    <d v="2015-07-17T00:00:00"/>
    <s v="Upstream"/>
  </r>
  <r>
    <x v="5"/>
    <n v="15"/>
    <n v="5.8"/>
    <x v="0"/>
    <d v="2015-07-17T00:00:00"/>
    <s v="Upstream"/>
  </r>
  <r>
    <x v="5"/>
    <n v="16"/>
    <n v="5.8"/>
    <x v="0"/>
    <d v="2015-07-17T00:00:00"/>
    <s v="Upstream"/>
  </r>
  <r>
    <x v="5"/>
    <n v="17"/>
    <n v="10.5"/>
    <x v="0"/>
    <d v="2015-07-17T00:00:00"/>
    <s v="Upstream"/>
  </r>
  <r>
    <x v="5"/>
    <n v="18"/>
    <n v="120.5"/>
    <x v="0"/>
    <d v="2015-07-17T00:00:00"/>
    <s v="Upstream"/>
  </r>
  <r>
    <x v="5"/>
    <n v="19"/>
    <n v="9.9"/>
    <x v="0"/>
    <d v="2015-07-17T00:00:00"/>
    <s v="Upstream"/>
  </r>
  <r>
    <x v="5"/>
    <n v="20"/>
    <n v="15.6"/>
    <x v="0"/>
    <d v="2015-07-17T00:00:00"/>
    <s v="Upstream"/>
  </r>
  <r>
    <x v="5"/>
    <n v="21"/>
    <n v="16.5"/>
    <x v="0"/>
    <d v="2015-07-17T00:00:00"/>
    <s v="Upstream"/>
  </r>
  <r>
    <x v="5"/>
    <n v="22"/>
    <n v="16.8"/>
    <x v="0"/>
    <d v="2015-07-17T00:00:00"/>
    <s v="Upstream"/>
  </r>
  <r>
    <x v="5"/>
    <n v="23"/>
    <n v="6.1"/>
    <x v="0"/>
    <d v="2015-07-17T00:00:00"/>
    <s v="Upstream"/>
  </r>
  <r>
    <x v="5"/>
    <n v="24"/>
    <n v="1.5"/>
    <x v="0"/>
    <d v="2015-07-17T00:00:00"/>
    <s v="Upstream"/>
  </r>
  <r>
    <x v="5"/>
    <n v="25"/>
    <n v="1.3"/>
    <x v="0"/>
    <d v="2015-07-17T00:00:00"/>
    <s v="Upstream"/>
  </r>
  <r>
    <x v="5"/>
    <n v="26"/>
    <n v="8.6999999999999993"/>
    <x v="0"/>
    <d v="2015-07-17T00:00:00"/>
    <s v="Upstream"/>
  </r>
  <r>
    <x v="6"/>
    <n v="27"/>
    <n v="10.1"/>
    <x v="0"/>
    <d v="2015-07-20T00:00:00"/>
    <s v="Upstream"/>
  </r>
  <r>
    <x v="6"/>
    <n v="28"/>
    <n v="6.4"/>
    <x v="0"/>
    <d v="2015-07-20T00:00:00"/>
    <s v="Upstream"/>
  </r>
  <r>
    <x v="6"/>
    <n v="29"/>
    <n v="10"/>
    <x v="0"/>
    <d v="2015-07-20T00:00:00"/>
    <s v="Upstream"/>
  </r>
  <r>
    <x v="6"/>
    <n v="30"/>
    <n v="25.2"/>
    <x v="0"/>
    <d v="2015-07-20T00:00:00"/>
    <s v="Upstream"/>
  </r>
  <r>
    <x v="6"/>
    <n v="31"/>
    <n v="122.8"/>
    <x v="0"/>
    <d v="2015-07-20T00:00:00"/>
    <s v="Upstream"/>
  </r>
  <r>
    <x v="6"/>
    <n v="32"/>
    <n v="32.299999999999997"/>
    <x v="0"/>
    <d v="2015-07-20T00:00:00"/>
    <s v="Upstream"/>
  </r>
  <r>
    <x v="6"/>
    <n v="33"/>
    <n v="6.3"/>
    <x v="0"/>
    <d v="2015-07-20T00:00:00"/>
    <s v="Upstream"/>
  </r>
  <r>
    <x v="6"/>
    <n v="34"/>
    <n v="1.5"/>
    <x v="0"/>
    <d v="2015-07-20T00:00:00"/>
    <s v="Upstream"/>
  </r>
  <r>
    <x v="6"/>
    <n v="35"/>
    <n v="2.7"/>
    <x v="0"/>
    <d v="2015-07-20T00:00:00"/>
    <s v="Upstream"/>
  </r>
  <r>
    <x v="6"/>
    <n v="36"/>
    <n v="19.8"/>
    <x v="0"/>
    <d v="2015-07-20T00:00:00"/>
    <s v="Upstream"/>
  </r>
  <r>
    <x v="6"/>
    <n v="37"/>
    <n v="1.6"/>
    <x v="0"/>
    <d v="2015-07-20T00:00:00"/>
    <s v="Upstream"/>
  </r>
  <r>
    <x v="7"/>
    <n v="38"/>
    <n v="1.7"/>
    <x v="0"/>
    <d v="2015-07-17T00:00:00"/>
    <s v="Upstream"/>
  </r>
  <r>
    <x v="7"/>
    <n v="39"/>
    <n v="3.4"/>
    <x v="0"/>
    <d v="2015-07-17T00:00:00"/>
    <s v="Upstream"/>
  </r>
  <r>
    <x v="7"/>
    <n v="40"/>
    <n v="1.8"/>
    <x v="0"/>
    <d v="2015-07-17T00:00:00"/>
    <s v="Upstream"/>
  </r>
  <r>
    <x v="7"/>
    <n v="41"/>
    <n v="1"/>
    <x v="0"/>
    <d v="2015-07-17T00:00:00"/>
    <s v="Upstream"/>
  </r>
  <r>
    <x v="7"/>
    <n v="42"/>
    <n v="11.9"/>
    <x v="0"/>
    <d v="2015-07-17T00:00:00"/>
    <s v="Upstream"/>
  </r>
  <r>
    <x v="7"/>
    <n v="43"/>
    <n v="4.9000000000000004"/>
    <x v="0"/>
    <d v="2015-07-17T00:00:00"/>
    <s v="Upstream"/>
  </r>
  <r>
    <x v="7"/>
    <n v="44"/>
    <n v="52.2"/>
    <x v="0"/>
    <d v="2015-07-17T00:00:00"/>
    <s v="Upstream"/>
  </r>
  <r>
    <x v="7"/>
    <n v="45"/>
    <n v="57.3"/>
    <x v="0"/>
    <d v="2015-07-17T00:00:00"/>
    <s v="Upstream"/>
  </r>
  <r>
    <x v="7"/>
    <n v="46"/>
    <n v="8.8000000000000007"/>
    <x v="0"/>
    <d v="2015-07-17T00:00:00"/>
    <s v="Upstream"/>
  </r>
  <r>
    <x v="7"/>
    <n v="47"/>
    <n v="99.6"/>
    <x v="0"/>
    <d v="2015-07-17T00:00:00"/>
    <s v="Upstream"/>
  </r>
  <r>
    <x v="7"/>
    <n v="48"/>
    <n v="11.7"/>
    <x v="0"/>
    <d v="2015-07-17T00:00:00"/>
    <s v="Upstream"/>
  </r>
  <r>
    <x v="7"/>
    <n v="49"/>
    <n v="50.6"/>
    <x v="0"/>
    <d v="2015-07-17T00:00:00"/>
    <s v="Upstream"/>
  </r>
  <r>
    <x v="7"/>
    <n v="50"/>
    <n v="23.7"/>
    <x v="0"/>
    <d v="2015-07-17T00:00:00"/>
    <s v="Upstream"/>
  </r>
  <r>
    <x v="7"/>
    <n v="51"/>
    <n v="8.9"/>
    <x v="0"/>
    <d v="2015-07-17T00:00:00"/>
    <s v="Upstream"/>
  </r>
  <r>
    <x v="7"/>
    <n v="52"/>
    <n v="9"/>
    <x v="0"/>
    <d v="2015-07-17T00:00:00"/>
    <s v="Upstream"/>
  </r>
  <r>
    <x v="7"/>
    <n v="53"/>
    <n v="1.9"/>
    <x v="0"/>
    <d v="2015-07-17T00:00:00"/>
    <s v="Upstream"/>
  </r>
  <r>
    <x v="7"/>
    <n v="54"/>
    <n v="73.2"/>
    <x v="0"/>
    <d v="2015-07-17T00:00:00"/>
    <s v="Upstream"/>
  </r>
  <r>
    <x v="7"/>
    <n v="55"/>
    <n v="1.7"/>
    <x v="0"/>
    <d v="2015-07-17T00:00:00"/>
    <s v="Upstream"/>
  </r>
  <r>
    <x v="7"/>
    <n v="56"/>
    <n v="1.3"/>
    <x v="0"/>
    <d v="2015-07-17T00:00:00"/>
    <s v="Upstream"/>
  </r>
  <r>
    <x v="7"/>
    <n v="57"/>
    <n v="11.1"/>
    <x v="0"/>
    <d v="2015-07-17T00:00:00"/>
    <s v="Upstream"/>
  </r>
  <r>
    <x v="7"/>
    <n v="58"/>
    <n v="43.6"/>
    <x v="0"/>
    <d v="2015-07-17T00:00:00"/>
    <s v="Upstream"/>
  </r>
  <r>
    <x v="7"/>
    <n v="59"/>
    <n v="140.69999999999999"/>
    <x v="0"/>
    <d v="2015-07-17T00:00:00"/>
    <s v="Upstream"/>
  </r>
  <r>
    <x v="7"/>
    <n v="60"/>
    <n v="18.100000000000001"/>
    <x v="0"/>
    <d v="2015-07-17T00:00:00"/>
    <s v="Upstream"/>
  </r>
  <r>
    <x v="7"/>
    <n v="61"/>
    <n v="78"/>
    <x v="0"/>
    <d v="2015-07-17T00:00:00"/>
    <s v="Upstream"/>
  </r>
  <r>
    <x v="7"/>
    <n v="62"/>
    <n v="72.099999999999994"/>
    <x v="0"/>
    <d v="2015-07-17T00:00:00"/>
    <s v="Upstream"/>
  </r>
  <r>
    <x v="7"/>
    <n v="63"/>
    <n v="11.3"/>
    <x v="0"/>
    <d v="2015-07-17T00:00:00"/>
    <s v="Upstream"/>
  </r>
  <r>
    <x v="7"/>
    <n v="64"/>
    <n v="38.4"/>
    <x v="0"/>
    <d v="2015-07-17T00:00:00"/>
    <s v="Upstream"/>
  </r>
  <r>
    <x v="7"/>
    <n v="65"/>
    <n v="11.1"/>
    <x v="0"/>
    <d v="2015-07-17T00:00:00"/>
    <s v="Upstream"/>
  </r>
  <r>
    <x v="7"/>
    <n v="66"/>
    <n v="1.5"/>
    <x v="0"/>
    <d v="2015-07-17T00:00:00"/>
    <s v="Upstream"/>
  </r>
  <r>
    <x v="7"/>
    <n v="67"/>
    <n v="14.8"/>
    <x v="0"/>
    <d v="2015-07-17T00:00:00"/>
    <s v="Upstream"/>
  </r>
  <r>
    <x v="7"/>
    <n v="68"/>
    <n v="18.2"/>
    <x v="0"/>
    <d v="2015-07-17T00:00:00"/>
    <s v="Upstream"/>
  </r>
  <r>
    <x v="7"/>
    <n v="69"/>
    <n v="3"/>
    <x v="0"/>
    <d v="2015-07-17T00:00:00"/>
    <s v="Upstream"/>
  </r>
  <r>
    <x v="7"/>
    <n v="70"/>
    <n v="90.2"/>
    <x v="0"/>
    <d v="2015-07-17T00:00:00"/>
    <s v="Upstream"/>
  </r>
  <r>
    <x v="7"/>
    <n v="71"/>
    <n v="11.4"/>
    <x v="0"/>
    <d v="2015-07-17T00:00:00"/>
    <s v="Upstream"/>
  </r>
  <r>
    <x v="7"/>
    <n v="72"/>
    <n v="8.6"/>
    <x v="0"/>
    <d v="2015-07-17T00:00:00"/>
    <s v="Upstream"/>
  </r>
  <r>
    <x v="7"/>
    <n v="73"/>
    <n v="0.5"/>
    <x v="0"/>
    <d v="2015-07-17T00:00:00"/>
    <s v="Upstream"/>
  </r>
  <r>
    <x v="7"/>
    <n v="74"/>
    <n v="10.5"/>
    <x v="0"/>
    <d v="2015-07-17T00:00:00"/>
    <s v="Upstream"/>
  </r>
  <r>
    <x v="7"/>
    <n v="75"/>
    <n v="4.7"/>
    <x v="0"/>
    <d v="2015-07-17T00:00:00"/>
    <s v="Upstream"/>
  </r>
  <r>
    <x v="7"/>
    <n v="76"/>
    <n v="42.6"/>
    <x v="0"/>
    <d v="2015-07-17T00:00:00"/>
    <s v="Upstream"/>
  </r>
  <r>
    <x v="7"/>
    <n v="77"/>
    <n v="3.1"/>
    <x v="0"/>
    <d v="2015-07-17T00:00:00"/>
    <s v="Upstream"/>
  </r>
  <r>
    <x v="7"/>
    <n v="78"/>
    <n v="1.4"/>
    <x v="0"/>
    <d v="2015-07-17T00:00:00"/>
    <s v="Upstream"/>
  </r>
  <r>
    <x v="7"/>
    <n v="79"/>
    <n v="9.1"/>
    <x v="0"/>
    <d v="2015-07-17T00:00:00"/>
    <s v="Upstream"/>
  </r>
  <r>
    <x v="8"/>
    <n v="80"/>
    <n v="15.6"/>
    <x v="0"/>
    <d v="2015-07-17T00:00:00"/>
    <s v="Upstream"/>
  </r>
  <r>
    <x v="8"/>
    <n v="81"/>
    <n v="24.5"/>
    <x v="0"/>
    <d v="2015-07-17T00:00:00"/>
    <s v="Upstream"/>
  </r>
  <r>
    <x v="8"/>
    <n v="82"/>
    <n v="3.9"/>
    <x v="0"/>
    <d v="2015-07-17T00:00:00"/>
    <s v="Upstream"/>
  </r>
  <r>
    <x v="8"/>
    <n v="83"/>
    <n v="23.7"/>
    <x v="0"/>
    <d v="2015-07-17T00:00:00"/>
    <s v="Upstream"/>
  </r>
  <r>
    <x v="8"/>
    <n v="84"/>
    <n v="10.7"/>
    <x v="0"/>
    <d v="2015-07-17T00:00:00"/>
    <s v="Upstream"/>
  </r>
  <r>
    <x v="8"/>
    <n v="85"/>
    <n v="9.1"/>
    <x v="0"/>
    <d v="2015-07-17T00:00:00"/>
    <s v="Upstream"/>
  </r>
  <r>
    <x v="8"/>
    <n v="86"/>
    <n v="28.6"/>
    <x v="0"/>
    <d v="2015-07-17T00:00:00"/>
    <s v="Upstream"/>
  </r>
  <r>
    <x v="8"/>
    <n v="87"/>
    <n v="7.4"/>
    <x v="0"/>
    <d v="2015-07-17T00:00:00"/>
    <s v="Upstream"/>
  </r>
  <r>
    <x v="8"/>
    <n v="88"/>
    <n v="35.1"/>
    <x v="0"/>
    <d v="2015-07-17T00:00:00"/>
    <s v="Upstream"/>
  </r>
  <r>
    <x v="8"/>
    <n v="89"/>
    <n v="2.6"/>
    <x v="0"/>
    <d v="2015-07-17T00:00:00"/>
    <s v="Upstream"/>
  </r>
  <r>
    <x v="8"/>
    <n v="90"/>
    <n v="5"/>
    <x v="0"/>
    <d v="2015-07-17T00:00:00"/>
    <s v="Upstream"/>
  </r>
  <r>
    <x v="8"/>
    <n v="91"/>
    <n v="1.2"/>
    <x v="0"/>
    <d v="2015-07-17T00:00:00"/>
    <s v="Upstream"/>
  </r>
  <r>
    <x v="8"/>
    <n v="92"/>
    <n v="21.4"/>
    <x v="0"/>
    <d v="2015-07-17T00:00:00"/>
    <s v="Upstream"/>
  </r>
  <r>
    <x v="8"/>
    <n v="93"/>
    <n v="27"/>
    <x v="0"/>
    <d v="2015-07-17T00:00:00"/>
    <s v="Upstream"/>
  </r>
  <r>
    <x v="8"/>
    <n v="94"/>
    <n v="42.2"/>
    <x v="0"/>
    <d v="2015-07-17T00:00:00"/>
    <s v="Upstream"/>
  </r>
  <r>
    <x v="8"/>
    <n v="95"/>
    <n v="1.5"/>
    <x v="0"/>
    <d v="2015-07-17T00:00:00"/>
    <s v="Upstream"/>
  </r>
  <r>
    <x v="8"/>
    <n v="96"/>
    <n v="3.6"/>
    <x v="0"/>
    <d v="2015-07-17T00:00:00"/>
    <s v="Upstream"/>
  </r>
  <r>
    <x v="8"/>
    <n v="97"/>
    <n v="54.2"/>
    <x v="0"/>
    <d v="2015-07-17T00:00:00"/>
    <s v="Upstream"/>
  </r>
  <r>
    <x v="8"/>
    <n v="98"/>
    <n v="2.4"/>
    <x v="0"/>
    <d v="2015-07-17T00:00:00"/>
    <s v="Upstream"/>
  </r>
  <r>
    <x v="8"/>
    <n v="99"/>
    <n v="1.5"/>
    <x v="0"/>
    <d v="2015-07-17T00:00:00"/>
    <s v="Upstream"/>
  </r>
  <r>
    <x v="8"/>
    <n v="100"/>
    <n v="33"/>
    <x v="0"/>
    <d v="2015-07-17T00:00:00"/>
    <s v="Upstream"/>
  </r>
  <r>
    <x v="8"/>
    <n v="101"/>
    <n v="77.900000000000006"/>
    <x v="0"/>
    <d v="2015-07-17T00:00:00"/>
    <s v="Upstream"/>
  </r>
  <r>
    <x v="8"/>
    <n v="102"/>
    <n v="10.1"/>
    <x v="0"/>
    <d v="2015-07-17T00:00:00"/>
    <s v="Upstream"/>
  </r>
  <r>
    <x v="8"/>
    <n v="103"/>
    <n v="4.2"/>
    <x v="0"/>
    <d v="2015-07-17T00:00:00"/>
    <s v="Upstream"/>
  </r>
  <r>
    <x v="8"/>
    <n v="104"/>
    <n v="61.7"/>
    <x v="0"/>
    <d v="2015-07-17T00:00:00"/>
    <s v="Upstream"/>
  </r>
  <r>
    <x v="8"/>
    <n v="105"/>
    <n v="1.2"/>
    <x v="0"/>
    <d v="2015-07-17T00:00:00"/>
    <s v="Upstream"/>
  </r>
  <r>
    <x v="8"/>
    <n v="106"/>
    <n v="4"/>
    <x v="0"/>
    <d v="2015-07-17T00:00:00"/>
    <s v="Upstream"/>
  </r>
  <r>
    <x v="8"/>
    <n v="107"/>
    <n v="6.3"/>
    <x v="0"/>
    <d v="2015-07-17T00:00:00"/>
    <s v="Upstream"/>
  </r>
  <r>
    <x v="8"/>
    <n v="108"/>
    <n v="4.0999999999999996"/>
    <x v="0"/>
    <d v="2015-07-17T00:00:00"/>
    <s v="Upstream"/>
  </r>
  <r>
    <x v="8"/>
    <n v="109"/>
    <n v="4.5"/>
    <x v="0"/>
    <d v="2015-07-17T00:00:00"/>
    <s v="Upstream"/>
  </r>
  <r>
    <x v="8"/>
    <n v="110"/>
    <n v="1.1000000000000001"/>
    <x v="0"/>
    <d v="2015-07-17T00:00:00"/>
    <s v="Upstream"/>
  </r>
  <r>
    <x v="8"/>
    <n v="111"/>
    <n v="27.3"/>
    <x v="0"/>
    <d v="2015-07-17T00:00:00"/>
    <s v="Upstream"/>
  </r>
  <r>
    <x v="8"/>
    <n v="112"/>
    <n v="1.3"/>
    <x v="0"/>
    <d v="2015-07-17T00:00:00"/>
    <s v="Upstream"/>
  </r>
  <r>
    <x v="8"/>
    <n v="113"/>
    <n v="11.8"/>
    <x v="0"/>
    <d v="2015-07-17T00:00:00"/>
    <s v="Upstream"/>
  </r>
  <r>
    <x v="8"/>
    <n v="114"/>
    <n v="11.3"/>
    <x v="0"/>
    <d v="2015-07-17T00:00:00"/>
    <s v="Upstream"/>
  </r>
  <r>
    <x v="8"/>
    <n v="115"/>
    <n v="60.3"/>
    <x v="0"/>
    <d v="2015-07-17T00:00:00"/>
    <s v="Upstream"/>
  </r>
  <r>
    <x v="8"/>
    <n v="116"/>
    <n v="36.799999999999997"/>
    <x v="0"/>
    <d v="2015-07-17T00:00:00"/>
    <s v="Upstream"/>
  </r>
  <r>
    <x v="8"/>
    <n v="117"/>
    <n v="24.5"/>
    <x v="0"/>
    <d v="2015-07-17T00:00:00"/>
    <s v="Upstream"/>
  </r>
  <r>
    <x v="8"/>
    <n v="118"/>
    <n v="0.9"/>
    <x v="0"/>
    <d v="2015-07-17T00:00:00"/>
    <s v="Upstream"/>
  </r>
  <r>
    <x v="8"/>
    <n v="119"/>
    <n v="5"/>
    <x v="0"/>
    <d v="2015-07-17T00:00:00"/>
    <s v="Upstream"/>
  </r>
  <r>
    <x v="8"/>
    <n v="120"/>
    <n v="8.1999999999999993"/>
    <x v="0"/>
    <d v="2015-07-17T00:00:00"/>
    <s v="Upstream"/>
  </r>
  <r>
    <x v="9"/>
    <n v="121"/>
    <n v="11.1"/>
    <x v="0"/>
    <d v="2015-07-20T00:00:00"/>
    <s v="Upstream"/>
  </r>
  <r>
    <x v="9"/>
    <n v="122"/>
    <n v="50.2"/>
    <x v="0"/>
    <d v="2015-07-20T00:00:00"/>
    <s v="Upstream"/>
  </r>
  <r>
    <x v="9"/>
    <n v="123"/>
    <n v="5.0999999999999996"/>
    <x v="0"/>
    <d v="2015-07-20T00:00:00"/>
    <s v="Upstream"/>
  </r>
  <r>
    <x v="9"/>
    <n v="124"/>
    <n v="2.5"/>
    <x v="0"/>
    <d v="2015-07-20T00:00:00"/>
    <s v="Upstream"/>
  </r>
  <r>
    <x v="9"/>
    <n v="125"/>
    <n v="65.7"/>
    <x v="0"/>
    <d v="2015-07-20T00:00:00"/>
    <s v="Upstream"/>
  </r>
  <r>
    <x v="9"/>
    <n v="126"/>
    <n v="1.7"/>
    <x v="0"/>
    <d v="2015-07-20T00:00:00"/>
    <s v="Upstream"/>
  </r>
  <r>
    <x v="9"/>
    <n v="127"/>
    <n v="154.1"/>
    <x v="0"/>
    <d v="2015-07-20T00:00:00"/>
    <s v="Upstream"/>
  </r>
  <r>
    <x v="9"/>
    <n v="128"/>
    <n v="2.7"/>
    <x v="0"/>
    <d v="2015-07-20T00:00:00"/>
    <s v="Upstream"/>
  </r>
  <r>
    <x v="9"/>
    <n v="129"/>
    <n v="9.9"/>
    <x v="0"/>
    <d v="2015-07-20T00:00:00"/>
    <s v="Upstream"/>
  </r>
  <r>
    <x v="9"/>
    <n v="130"/>
    <n v="7"/>
    <x v="0"/>
    <d v="2015-07-20T00:00:00"/>
    <s v="Upstream"/>
  </r>
  <r>
    <x v="9"/>
    <n v="131"/>
    <n v="4.3"/>
    <x v="0"/>
    <d v="2015-07-20T00:00:00"/>
    <s v="Upstream"/>
  </r>
  <r>
    <x v="9"/>
    <n v="132"/>
    <n v="17.100000000000001"/>
    <x v="0"/>
    <d v="2015-07-20T00:00:00"/>
    <s v="Upstream"/>
  </r>
  <r>
    <x v="9"/>
    <n v="133"/>
    <n v="2.9"/>
    <x v="0"/>
    <d v="2015-07-20T00:00:00"/>
    <s v="Upstream"/>
  </r>
  <r>
    <x v="9"/>
    <n v="134"/>
    <n v="4.4000000000000004"/>
    <x v="0"/>
    <d v="2015-07-20T00:00:00"/>
    <s v="Upstream"/>
  </r>
  <r>
    <x v="9"/>
    <n v="135"/>
    <n v="10.8"/>
    <x v="0"/>
    <d v="2015-07-20T00:00:00"/>
    <s v="Upstream"/>
  </r>
  <r>
    <x v="9"/>
    <n v="136"/>
    <n v="5"/>
    <x v="0"/>
    <d v="2015-07-20T00:00:00"/>
    <s v="Upstream"/>
  </r>
  <r>
    <x v="9"/>
    <n v="137"/>
    <n v="1.6"/>
    <x v="0"/>
    <d v="2015-07-20T00:00:00"/>
    <s v="Upstream"/>
  </r>
  <r>
    <x v="9"/>
    <n v="138"/>
    <n v="19.2"/>
    <x v="0"/>
    <d v="2015-07-20T00:00:00"/>
    <s v="Upstream"/>
  </r>
  <r>
    <x v="9"/>
    <n v="139"/>
    <n v="6.4"/>
    <x v="0"/>
    <d v="2015-07-20T00:00:00"/>
    <s v="Upstream"/>
  </r>
  <r>
    <x v="9"/>
    <n v="140"/>
    <n v="33.700000000000003"/>
    <x v="0"/>
    <d v="2015-07-20T00:00:00"/>
    <s v="Upstream"/>
  </r>
  <r>
    <x v="9"/>
    <n v="141"/>
    <n v="3.7"/>
    <x v="0"/>
    <d v="2015-07-20T00:00:00"/>
    <s v="Upstream"/>
  </r>
  <r>
    <x v="9"/>
    <n v="142"/>
    <n v="1.9"/>
    <x v="0"/>
    <d v="2015-07-20T00:00:00"/>
    <s v="Upstream"/>
  </r>
  <r>
    <x v="9"/>
    <n v="143"/>
    <n v="16.600000000000001"/>
    <x v="0"/>
    <d v="2015-07-20T00:00:00"/>
    <s v="Upstream"/>
  </r>
  <r>
    <x v="5"/>
    <n v="1"/>
    <n v="3.4"/>
    <x v="1"/>
    <d v="2022-09-10T00:00:00"/>
    <s v="Upstream"/>
  </r>
  <r>
    <x v="5"/>
    <n v="2"/>
    <n v="42"/>
    <x v="1"/>
    <d v="2022-09-10T00:00:00"/>
    <s v="Upstream"/>
  </r>
  <r>
    <x v="5"/>
    <n v="3"/>
    <n v="1.8"/>
    <x v="1"/>
    <d v="2022-09-10T00:00:00"/>
    <s v="Upstream"/>
  </r>
  <r>
    <x v="5"/>
    <n v="4"/>
    <n v="3.6"/>
    <x v="1"/>
    <d v="2022-09-10T00:00:00"/>
    <s v="Upstream"/>
  </r>
  <r>
    <x v="5"/>
    <n v="5"/>
    <n v="1.4"/>
    <x v="1"/>
    <d v="2022-09-10T00:00:00"/>
    <s v="Upstream"/>
  </r>
  <r>
    <x v="6"/>
    <n v="6"/>
    <n v="12.3"/>
    <x v="1"/>
    <d v="2022-09-10T00:00:00"/>
    <s v="Upstream"/>
  </r>
  <r>
    <x v="6"/>
    <n v="7"/>
    <n v="1.9"/>
    <x v="1"/>
    <d v="2022-09-10T00:00:00"/>
    <s v="Upstream"/>
  </r>
  <r>
    <x v="6"/>
    <n v="8"/>
    <n v="3.3"/>
    <x v="1"/>
    <d v="2022-09-10T00:00:00"/>
    <s v="Upstream"/>
  </r>
  <r>
    <x v="6"/>
    <n v="9"/>
    <n v="2.2000000000000002"/>
    <x v="1"/>
    <d v="2022-09-10T00:00:00"/>
    <s v="Upstream"/>
  </r>
  <r>
    <x v="6"/>
    <n v="10"/>
    <n v="21.6"/>
    <x v="1"/>
    <d v="2022-09-10T00:00:00"/>
    <s v="Upstream"/>
  </r>
  <r>
    <x v="6"/>
    <n v="11"/>
    <n v="16.7"/>
    <x v="1"/>
    <d v="2022-09-10T00:00:00"/>
    <s v="Upstream"/>
  </r>
  <r>
    <x v="6"/>
    <n v="12"/>
    <n v="5.7"/>
    <x v="1"/>
    <d v="2022-09-10T00:00:00"/>
    <s v="Upstream"/>
  </r>
  <r>
    <x v="7"/>
    <n v="13"/>
    <n v="51.9"/>
    <x v="1"/>
    <d v="2022-09-10T00:00:00"/>
    <s v="Upstream"/>
  </r>
  <r>
    <x v="7"/>
    <n v="14"/>
    <n v="43.5"/>
    <x v="1"/>
    <d v="2022-09-10T00:00:00"/>
    <s v="Upstream"/>
  </r>
  <r>
    <x v="7"/>
    <n v="15"/>
    <n v="1.6"/>
    <x v="1"/>
    <d v="2022-09-10T00:00:00"/>
    <s v="Upstream"/>
  </r>
  <r>
    <x v="7"/>
    <n v="16"/>
    <n v="354"/>
    <x v="1"/>
    <d v="2022-09-10T00:00:00"/>
    <s v="Upstream"/>
  </r>
  <r>
    <x v="7"/>
    <n v="17"/>
    <n v="17.3"/>
    <x v="1"/>
    <d v="2022-09-10T00:00:00"/>
    <s v="Upstream"/>
  </r>
  <r>
    <x v="7"/>
    <n v="18"/>
    <n v="6.2"/>
    <x v="1"/>
    <d v="2022-09-10T00:00:00"/>
    <s v="Upstream"/>
  </r>
  <r>
    <x v="7"/>
    <n v="19"/>
    <n v="20"/>
    <x v="1"/>
    <d v="2022-09-10T00:00:00"/>
    <s v="Upstream"/>
  </r>
  <r>
    <x v="7"/>
    <n v="20"/>
    <n v="11.1"/>
    <x v="1"/>
    <d v="2022-09-10T00:00:00"/>
    <s v="Upstream"/>
  </r>
  <r>
    <x v="7"/>
    <n v="21"/>
    <n v="1.5"/>
    <x v="1"/>
    <d v="2022-09-10T00:00:00"/>
    <s v="Upstream"/>
  </r>
  <r>
    <x v="7"/>
    <n v="22"/>
    <n v="2.4"/>
    <x v="1"/>
    <d v="2022-09-10T00:00:00"/>
    <s v="Upstream"/>
  </r>
  <r>
    <x v="7"/>
    <n v="23"/>
    <n v="1.6"/>
    <x v="1"/>
    <d v="2022-09-10T00:00:00"/>
    <s v="Upstream"/>
  </r>
  <r>
    <x v="8"/>
    <n v="24"/>
    <n v="4.2"/>
    <x v="1"/>
    <d v="2022-09-10T00:00:00"/>
    <s v="Upstream"/>
  </r>
  <r>
    <x v="8"/>
    <n v="25"/>
    <n v="13.3"/>
    <x v="1"/>
    <d v="2022-09-10T00:00:00"/>
    <s v="Upstream"/>
  </r>
  <r>
    <x v="8"/>
    <n v="26"/>
    <n v="2.6"/>
    <x v="1"/>
    <d v="2022-09-10T00:00:00"/>
    <s v="Upstream"/>
  </r>
  <r>
    <x v="8"/>
    <n v="27"/>
    <n v="2.1"/>
    <x v="1"/>
    <d v="2022-09-10T00:00:00"/>
    <s v="Upstream"/>
  </r>
  <r>
    <x v="8"/>
    <n v="28"/>
    <n v="1"/>
    <x v="1"/>
    <d v="2022-09-10T00:00:00"/>
    <s v="Upstream"/>
  </r>
  <r>
    <x v="8"/>
    <n v="29"/>
    <n v="2.7"/>
    <x v="1"/>
    <d v="2022-09-10T00:00:00"/>
    <s v="Upstream"/>
  </r>
  <r>
    <x v="8"/>
    <n v="30"/>
    <n v="2.1"/>
    <x v="1"/>
    <d v="2022-09-10T00:00:00"/>
    <s v="Upstream"/>
  </r>
  <r>
    <x v="8"/>
    <n v="31"/>
    <n v="46.3"/>
    <x v="1"/>
    <d v="2022-09-10T00:00:00"/>
    <s v="Upstream"/>
  </r>
  <r>
    <x v="8"/>
    <n v="32"/>
    <n v="70.599999999999994"/>
    <x v="1"/>
    <d v="2022-09-10T00:00:00"/>
    <s v="Upstream"/>
  </r>
  <r>
    <x v="8"/>
    <n v="33"/>
    <n v="6.7"/>
    <x v="1"/>
    <d v="2022-09-10T00:00:00"/>
    <s v="Upstream"/>
  </r>
  <r>
    <x v="9"/>
    <n v="34"/>
    <n v="16.399999999999999"/>
    <x v="1"/>
    <d v="2022-09-10T00:00:00"/>
    <s v="Upstream"/>
  </r>
  <r>
    <x v="9"/>
    <n v="35"/>
    <n v="1.9"/>
    <x v="1"/>
    <d v="2022-09-10T00:00:00"/>
    <s v="Upstream"/>
  </r>
  <r>
    <x v="9"/>
    <n v="36"/>
    <n v="2.7"/>
    <x v="1"/>
    <d v="2022-09-10T00:00:00"/>
    <s v="Upstream"/>
  </r>
  <r>
    <x v="9"/>
    <n v="37"/>
    <n v="0.9"/>
    <x v="1"/>
    <d v="2022-09-10T00:00:00"/>
    <s v="Upstream"/>
  </r>
  <r>
    <x v="9"/>
    <n v="38"/>
    <n v="0.7"/>
    <x v="1"/>
    <d v="2022-09-10T00:00:00"/>
    <s v="Upstream"/>
  </r>
  <r>
    <x v="9"/>
    <n v="39"/>
    <n v="27.5"/>
    <x v="1"/>
    <d v="2022-09-10T00:00:00"/>
    <s v="Upstream"/>
  </r>
  <r>
    <x v="9"/>
    <n v="40"/>
    <n v="1.1000000000000001"/>
    <x v="1"/>
    <d v="2022-09-10T00:00:00"/>
    <s v="Upstream"/>
  </r>
  <r>
    <x v="9"/>
    <n v="41"/>
    <n v="33.9"/>
    <x v="1"/>
    <d v="2022-09-10T00:00:00"/>
    <s v="Upstream"/>
  </r>
  <r>
    <x v="9"/>
    <n v="42"/>
    <n v="2.2999999999999998"/>
    <x v="1"/>
    <d v="2022-09-10T00:00:00"/>
    <s v="Upstream"/>
  </r>
  <r>
    <x v="9"/>
    <n v="43"/>
    <n v="35.1"/>
    <x v="1"/>
    <d v="2022-09-10T00:00:00"/>
    <s v="Upstream"/>
  </r>
  <r>
    <x v="9"/>
    <n v="44"/>
    <n v="1.1000000000000001"/>
    <x v="1"/>
    <d v="2022-09-10T00:00:00"/>
    <s v="Upstream"/>
  </r>
  <r>
    <x v="9"/>
    <n v="45"/>
    <n v="5.6"/>
    <x v="1"/>
    <d v="2022-09-10T00:00:00"/>
    <s v="Upstream"/>
  </r>
  <r>
    <x v="9"/>
    <n v="46"/>
    <n v="0.8"/>
    <x v="1"/>
    <d v="2022-09-10T00:00:00"/>
    <s v="Upstream"/>
  </r>
  <r>
    <x v="9"/>
    <n v="47"/>
    <n v="0.7"/>
    <x v="1"/>
    <d v="2022-09-10T00:00:00"/>
    <s v="Upstream"/>
  </r>
  <r>
    <x v="10"/>
    <m/>
    <m/>
    <x v="2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29.03"/>
    <n v="74.97"/>
    <n v="43.138896000000003"/>
    <n v="-97.548911000000004"/>
    <x v="0"/>
    <n v="435.40000000000009"/>
    <n v="25"/>
  </r>
  <r>
    <x v="0"/>
    <n v="22.44"/>
    <n v="81.56"/>
    <n v="43.148778999999998"/>
    <n v="-97.595191"/>
    <x v="0"/>
    <n v="182.4"/>
    <n v="16"/>
  </r>
  <r>
    <x v="0"/>
    <n v="20.84"/>
    <n v="83.16"/>
    <n v="43.157060000000001"/>
    <n v="-97.598729000000006"/>
    <x v="0"/>
    <n v="193.70000000000002"/>
    <n v="14"/>
  </r>
  <r>
    <x v="0"/>
    <n v="17.66"/>
    <n v="86.34"/>
    <n v="43.172010999999998"/>
    <n v="-97.613174999999998"/>
    <x v="0"/>
    <n v="98.699999999999989"/>
    <n v="11"/>
  </r>
  <r>
    <x v="0"/>
    <n v="12.71"/>
    <n v="91.289999999999992"/>
    <n v="43.189993000000001"/>
    <n v="-97640722"/>
    <x v="0"/>
    <n v="378.69999999999993"/>
    <n v="22"/>
  </r>
  <r>
    <x v="0"/>
    <n v="-4.2"/>
    <n v="108.2"/>
    <n v="43.255544"/>
    <n v="-97.645106999999996"/>
    <x v="1"/>
    <n v="437.59999999999991"/>
    <n v="23"/>
  </r>
  <r>
    <x v="0"/>
    <n v="-10.35"/>
    <n v="114.35"/>
    <n v="43.284739000000002"/>
    <n v="-97.62603"/>
    <x v="1"/>
    <n v="716.6999999999997"/>
    <n v="41"/>
  </r>
  <r>
    <x v="0"/>
    <n v="-11.69"/>
    <n v="115.69"/>
    <n v="43.294125000000001"/>
    <n v="-97.633842000000001"/>
    <x v="1"/>
    <n v="1068.5999999999999"/>
    <n v="42"/>
  </r>
  <r>
    <x v="0"/>
    <n v="-17.07"/>
    <n v="121.07"/>
    <n v="43.322873999999999"/>
    <n v="-97.622820000000004"/>
    <x v="1"/>
    <n v="238.70000000000002"/>
    <n v="11"/>
  </r>
  <r>
    <x v="0"/>
    <n v="-19"/>
    <n v="123"/>
    <n v="43.333314000000001"/>
    <n v="-97.622369000000006"/>
    <x v="1"/>
    <n v="549"/>
    <n v="26"/>
  </r>
  <r>
    <x v="1"/>
    <n v="29.03"/>
    <n v="74.97"/>
    <n v="43.138896000000003"/>
    <n v="-97.548911000000004"/>
    <x v="0"/>
    <n v="45.7"/>
    <n v="7"/>
  </r>
  <r>
    <x v="1"/>
    <n v="22.44"/>
    <n v="81.56"/>
    <n v="43.148778999999998"/>
    <n v="-97.595191"/>
    <x v="0"/>
    <n v="145.4"/>
    <n v="19"/>
  </r>
  <r>
    <x v="1"/>
    <n v="20.84"/>
    <n v="83.16"/>
    <n v="43.157060000000001"/>
    <n v="-97.598729000000006"/>
    <x v="0"/>
    <n v="48.899999999999991"/>
    <n v="6"/>
  </r>
  <r>
    <x v="1"/>
    <n v="17.66"/>
    <n v="86.34"/>
    <n v="43.172010999999998"/>
    <n v="-97.613174999999998"/>
    <x v="0"/>
    <n v="13.5"/>
    <n v="4"/>
  </r>
  <r>
    <x v="1"/>
    <n v="12.71"/>
    <n v="91.289999999999992"/>
    <n v="43.189993000000001"/>
    <n v="-97640722"/>
    <x v="0"/>
    <n v="80"/>
    <n v="14"/>
  </r>
  <r>
    <x v="1"/>
    <n v="-4.2"/>
    <n v="108.2"/>
    <n v="43.255544"/>
    <n v="-97.645106999999996"/>
    <x v="1"/>
    <n v="130.69999999999999"/>
    <n v="14"/>
  </r>
  <r>
    <x v="1"/>
    <n v="-10.35"/>
    <n v="114.35"/>
    <n v="43.284739000000002"/>
    <n v="-97.62603"/>
    <x v="1"/>
    <n v="151.59999999999997"/>
    <n v="10"/>
  </r>
  <r>
    <x v="1"/>
    <n v="-11.69"/>
    <n v="115.69"/>
    <n v="43.294125000000001"/>
    <n v="-97.633842000000001"/>
    <x v="1"/>
    <n v="511.1"/>
    <n v="11"/>
  </r>
  <r>
    <x v="1"/>
    <n v="-17.07"/>
    <n v="121.07"/>
    <n v="43.322873999999999"/>
    <n v="-97.622820000000004"/>
    <x v="1"/>
    <n v="63.7"/>
    <n v="7"/>
  </r>
  <r>
    <x v="1"/>
    <n v="-19"/>
    <n v="123"/>
    <n v="43.333314000000001"/>
    <n v="-97.622369000000006"/>
    <x v="1"/>
    <n v="52.199999999999996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F00D1-1206-4702-8677-FEE5539A2B2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8:H33" firstHeaderRow="0" firstDataRow="1" firstDataCol="1"/>
  <pivotFields count="4">
    <pivotField axis="axisRow" dataFiel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showAll="0"/>
    <pivotField axis="axisRow" showAll="0">
      <items count="4">
        <item x="1"/>
        <item x="0"/>
        <item x="2"/>
        <item t="default"/>
      </items>
    </pivotField>
  </pivotFields>
  <rowFields count="2">
    <field x="3"/>
    <field x="0"/>
  </rowFields>
  <rowItems count="2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ur. Area" fld="2" baseField="0" baseItem="2"/>
    <dataField name="Count of Rkm" fld="0" subtotal="count" baseField="0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D6908-2274-4D16-975E-1F1995658D5F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9:L36" firstHeaderRow="0" firstDataRow="1" firstDataCol="1"/>
  <pivotFields count="8">
    <pivotField axis="axisRow" showAll="0">
      <items count="3">
        <item x="0"/>
        <item x="1"/>
        <item t="default"/>
      </items>
    </pivotField>
    <pivotField showAll="0"/>
    <pivotField numFmtId="2"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dataField="1" showAll="0"/>
  </pivotFields>
  <rowFields count="2">
    <field x="0"/>
    <field x="5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Count" fld="7" subtotal="average" baseField="0" baseItem="0"/>
    <dataField name="StdDev of Count" fld="7" subtotal="stdDev" baseField="5" baseItem="0"/>
    <dataField name="Average of Area" fld="6" subtotal="average" baseField="0" baseItem="0"/>
    <dataField name="StdDev of Area" fld="6" subtotal="stdDev" baseField="5" baseItem="0"/>
    <dataField name="Count of Count" fld="7" subtotal="count" baseField="5" baseItem="0"/>
  </dataFields>
  <formats count="16"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0" type="button" dataOnly="0" labelOnly="1" outline="0" axis="axisRow" fieldPosition="0"/>
    </format>
    <format dxfId="126">
      <pivotArea dataOnly="0" labelOnly="1" fieldPosition="0">
        <references count="1">
          <reference field="0" count="0"/>
        </references>
      </pivotArea>
    </format>
    <format dxfId="125">
      <pivotArea dataOnly="0" labelOnly="1" grandRow="1" outline="0" fieldPosition="0"/>
    </format>
    <format dxfId="124">
      <pivotArea dataOnly="0" labelOnly="1" fieldPosition="0">
        <references count="2">
          <reference field="0" count="1" selected="0">
            <x v="0"/>
          </reference>
          <reference field="5" count="0"/>
        </references>
      </pivotArea>
    </format>
    <format dxfId="123">
      <pivotArea dataOnly="0" labelOnly="1" fieldPosition="0">
        <references count="2">
          <reference field="0" count="1" selected="0">
            <x v="1"/>
          </reference>
          <reference field="5" count="0"/>
        </references>
      </pivotArea>
    </format>
    <format dxfId="122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112">
      <pivotArea type="all" dataOnly="0" outline="0" fieldPosition="0"/>
    </format>
    <format dxfId="111">
      <pivotArea outline="0" collapsedLevelsAreSubtotals="1" fieldPosition="0"/>
    </format>
    <format dxfId="110">
      <pivotArea field="0" type="button" dataOnly="0" labelOnly="1" outline="0" axis="axisRow" fieldPosition="0"/>
    </format>
    <format dxfId="109">
      <pivotArea dataOnly="0" labelOnly="1" fieldPosition="0">
        <references count="1">
          <reference field="0" count="0"/>
        </references>
      </pivotArea>
    </format>
    <format dxfId="108">
      <pivotArea dataOnly="0" labelOnly="1" grandRow="1" outline="0" fieldPosition="0"/>
    </format>
    <format dxfId="107">
      <pivotArea dataOnly="0" labelOnly="1" fieldPosition="0">
        <references count="2">
          <reference field="0" count="1" selected="0">
            <x v="0"/>
          </reference>
          <reference field="5" count="0"/>
        </references>
      </pivotArea>
    </format>
    <format dxfId="106">
      <pivotArea dataOnly="0" labelOnly="1" fieldPosition="0">
        <references count="2">
          <reference field="0" count="1" selected="0">
            <x v="1"/>
          </reference>
          <reference field="5" count="0"/>
        </references>
      </pivotArea>
    </format>
    <format dxfId="105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CA56C-5FC8-4409-BE83-F92B6C2B926D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6:D51" firstHeaderRow="0" firstDataRow="1" firstDataCol="1"/>
  <pivotFields count="6">
    <pivotField axis="axisRow" showAll="0">
      <items count="14">
        <item x="4"/>
        <item x="3"/>
        <item x="2"/>
        <item x="1"/>
        <item x="0"/>
        <item m="1" x="12"/>
        <item x="9"/>
        <item x="8"/>
        <item x="7"/>
        <item x="6"/>
        <item m="1" x="11"/>
        <item x="10"/>
        <item x="5"/>
        <item t="default"/>
      </items>
    </pivotField>
    <pivotField dataField="1"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2">
    <field x="3"/>
    <field x="0"/>
  </rowFields>
  <rowItems count="25">
    <i>
      <x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2"/>
    </i>
    <i>
      <x v="1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2"/>
    </i>
    <i>
      <x v="2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ur. Area" fld="2" baseField="0" baseItem="0"/>
    <dataField name="Count of Plot #" fld="1" subtotal="count" baseField="3" baseItem="0"/>
  </dataFields>
  <formats count="18"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3" type="button" dataOnly="0" labelOnly="1" outline="0" axis="axisRow" fieldPosition="0"/>
    </format>
    <format dxfId="118">
      <pivotArea dataOnly="0" labelOnly="1" fieldPosition="0">
        <references count="1">
          <reference field="3" count="0"/>
        </references>
      </pivotArea>
    </format>
    <format dxfId="117">
      <pivotArea dataOnly="0" labelOnly="1" grandRow="1" outline="0" fieldPosition="0"/>
    </format>
    <format dxfId="116">
      <pivotArea dataOnly="0" labelOnly="1" fieldPosition="0">
        <references count="2">
          <reference field="0" count="10">
            <x v="0"/>
            <x v="1"/>
            <x v="2"/>
            <x v="3"/>
            <x v="4"/>
            <x v="6"/>
            <x v="7"/>
            <x v="8"/>
            <x v="9"/>
            <x v="12"/>
          </reference>
          <reference field="3" count="1" selected="0">
            <x v="0"/>
          </reference>
        </references>
      </pivotArea>
    </format>
    <format dxfId="115">
      <pivotArea dataOnly="0" labelOnly="1" fieldPosition="0">
        <references count="2">
          <reference field="0" count="10">
            <x v="0"/>
            <x v="1"/>
            <x v="2"/>
            <x v="3"/>
            <x v="4"/>
            <x v="6"/>
            <x v="7"/>
            <x v="8"/>
            <x v="9"/>
            <x v="12"/>
          </reference>
          <reference field="3" count="1" selected="0">
            <x v="1"/>
          </reference>
        </references>
      </pivotArea>
    </format>
    <format dxfId="114">
      <pivotArea dataOnly="0" labelOnly="1" fieldPosition="0">
        <references count="2">
          <reference field="0" count="1">
            <x v="11"/>
          </reference>
          <reference field="3" count="1" selected="0">
            <x v="2"/>
          </reference>
        </references>
      </pivotArea>
    </format>
    <format dxfId="1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3" type="button" dataOnly="0" labelOnly="1" outline="0" axis="axisRow" fieldPosition="0"/>
    </format>
    <format dxfId="101">
      <pivotArea dataOnly="0" labelOnly="1" fieldPosition="0">
        <references count="1">
          <reference field="3" count="0"/>
        </references>
      </pivotArea>
    </format>
    <format dxfId="100">
      <pivotArea dataOnly="0" labelOnly="1" grandRow="1" outline="0" fieldPosition="0"/>
    </format>
    <format dxfId="99">
      <pivotArea dataOnly="0" labelOnly="1" fieldPosition="0">
        <references count="2">
          <reference field="0" count="10">
            <x v="0"/>
            <x v="1"/>
            <x v="2"/>
            <x v="3"/>
            <x v="4"/>
            <x v="6"/>
            <x v="7"/>
            <x v="8"/>
            <x v="9"/>
            <x v="12"/>
          </reference>
          <reference field="3" count="1" selected="0">
            <x v="0"/>
          </reference>
        </references>
      </pivotArea>
    </format>
    <format dxfId="98">
      <pivotArea dataOnly="0" labelOnly="1" fieldPosition="0">
        <references count="2">
          <reference field="0" count="10">
            <x v="0"/>
            <x v="1"/>
            <x v="2"/>
            <x v="3"/>
            <x v="4"/>
            <x v="6"/>
            <x v="7"/>
            <x v="8"/>
            <x v="9"/>
            <x v="12"/>
          </reference>
          <reference field="3" count="1" selected="0">
            <x v="1"/>
          </reference>
        </references>
      </pivotArea>
    </format>
    <format dxfId="97">
      <pivotArea dataOnly="0" labelOnly="1" fieldPosition="0">
        <references count="2">
          <reference field="0" count="1">
            <x v="11"/>
          </reference>
          <reference field="3" count="1" selected="0">
            <x v="2"/>
          </reference>
        </references>
      </pivotArea>
    </format>
    <format dxfId="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DBEB2-FD07-4068-A1C6-1C0397A15900}">
  <dimension ref="A1:H262"/>
  <sheetViews>
    <sheetView workbookViewId="0">
      <selection sqref="A1:D1"/>
    </sheetView>
  </sheetViews>
  <sheetFormatPr defaultRowHeight="15" x14ac:dyDescent="0.25"/>
  <cols>
    <col min="6" max="6" width="13.140625" bestFit="1" customWidth="1"/>
    <col min="7" max="7" width="15.7109375" bestFit="1" customWidth="1"/>
    <col min="8" max="9" width="12.85546875" bestFit="1" customWidth="1"/>
  </cols>
  <sheetData>
    <row r="1" spans="1:8" x14ac:dyDescent="0.25">
      <c r="A1" s="1" t="s">
        <v>3</v>
      </c>
      <c r="B1" s="1" t="s">
        <v>1</v>
      </c>
      <c r="C1" s="1" t="s">
        <v>2</v>
      </c>
      <c r="D1" s="1" t="s">
        <v>4</v>
      </c>
    </row>
    <row r="2" spans="1:8" x14ac:dyDescent="0.25">
      <c r="A2">
        <v>1</v>
      </c>
      <c r="B2">
        <v>1</v>
      </c>
      <c r="C2">
        <v>9.8000000000000007</v>
      </c>
      <c r="D2">
        <v>2022</v>
      </c>
    </row>
    <row r="3" spans="1:8" x14ac:dyDescent="0.25">
      <c r="A3">
        <v>1</v>
      </c>
      <c r="B3">
        <v>2</v>
      </c>
      <c r="C3">
        <v>15.2</v>
      </c>
      <c r="D3">
        <v>2022</v>
      </c>
    </row>
    <row r="4" spans="1:8" x14ac:dyDescent="0.25">
      <c r="A4">
        <v>1</v>
      </c>
      <c r="B4">
        <v>3</v>
      </c>
      <c r="C4">
        <v>7.8</v>
      </c>
      <c r="D4">
        <v>2022</v>
      </c>
    </row>
    <row r="5" spans="1:8" x14ac:dyDescent="0.25">
      <c r="A5">
        <v>1</v>
      </c>
      <c r="B5">
        <v>4</v>
      </c>
      <c r="C5">
        <v>21.8</v>
      </c>
      <c r="D5">
        <v>2022</v>
      </c>
    </row>
    <row r="6" spans="1:8" x14ac:dyDescent="0.25">
      <c r="A6">
        <v>1</v>
      </c>
      <c r="B6">
        <v>5</v>
      </c>
      <c r="C6">
        <v>2.2999999999999998</v>
      </c>
      <c r="D6">
        <v>2022</v>
      </c>
    </row>
    <row r="7" spans="1:8" x14ac:dyDescent="0.25">
      <c r="A7">
        <v>1</v>
      </c>
      <c r="B7">
        <v>6</v>
      </c>
      <c r="C7">
        <v>12.9</v>
      </c>
      <c r="D7">
        <v>2022</v>
      </c>
    </row>
    <row r="8" spans="1:8" x14ac:dyDescent="0.25">
      <c r="A8">
        <v>1</v>
      </c>
      <c r="B8">
        <v>7</v>
      </c>
      <c r="C8">
        <v>10.199999999999999</v>
      </c>
      <c r="D8">
        <v>2022</v>
      </c>
      <c r="F8" s="4" t="s">
        <v>5</v>
      </c>
      <c r="G8" t="s">
        <v>8</v>
      </c>
      <c r="H8" t="s">
        <v>9</v>
      </c>
    </row>
    <row r="9" spans="1:8" x14ac:dyDescent="0.25">
      <c r="A9">
        <v>1</v>
      </c>
      <c r="B9">
        <v>8</v>
      </c>
      <c r="C9">
        <v>7.5</v>
      </c>
      <c r="D9">
        <v>2022</v>
      </c>
      <c r="F9" s="5">
        <v>2015</v>
      </c>
      <c r="G9" s="2">
        <v>3469.1000000000004</v>
      </c>
      <c r="H9" s="2">
        <v>158</v>
      </c>
    </row>
    <row r="10" spans="1:8" x14ac:dyDescent="0.25">
      <c r="A10">
        <v>1</v>
      </c>
      <c r="B10">
        <v>9</v>
      </c>
      <c r="C10">
        <v>0.5</v>
      </c>
      <c r="D10">
        <v>2022</v>
      </c>
      <c r="F10" s="6">
        <v>1</v>
      </c>
      <c r="G10" s="2">
        <v>293.3</v>
      </c>
      <c r="H10" s="2">
        <v>16</v>
      </c>
    </row>
    <row r="11" spans="1:8" x14ac:dyDescent="0.25">
      <c r="A11">
        <v>1</v>
      </c>
      <c r="B11">
        <v>10</v>
      </c>
      <c r="C11">
        <v>1.2</v>
      </c>
      <c r="D11">
        <v>2022</v>
      </c>
      <c r="F11" s="6">
        <v>2</v>
      </c>
      <c r="G11" s="2">
        <v>103.3</v>
      </c>
      <c r="H11" s="2">
        <v>9</v>
      </c>
    </row>
    <row r="12" spans="1:8" x14ac:dyDescent="0.25">
      <c r="A12">
        <v>1</v>
      </c>
      <c r="B12">
        <v>11</v>
      </c>
      <c r="C12">
        <v>5.9</v>
      </c>
      <c r="D12">
        <v>2022</v>
      </c>
      <c r="F12" s="6">
        <v>3</v>
      </c>
      <c r="G12" s="2">
        <v>593.99999999999989</v>
      </c>
      <c r="H12" s="2">
        <v>14</v>
      </c>
    </row>
    <row r="13" spans="1:8" x14ac:dyDescent="0.25">
      <c r="A13">
        <v>1</v>
      </c>
      <c r="B13">
        <v>12</v>
      </c>
      <c r="C13">
        <v>0.3</v>
      </c>
      <c r="D13">
        <v>2022</v>
      </c>
      <c r="F13" s="6">
        <v>4</v>
      </c>
      <c r="G13" s="2">
        <v>206.2</v>
      </c>
      <c r="H13" s="2">
        <v>6</v>
      </c>
    </row>
    <row r="14" spans="1:8" x14ac:dyDescent="0.25">
      <c r="A14">
        <v>1</v>
      </c>
      <c r="B14">
        <v>13</v>
      </c>
      <c r="C14">
        <v>0.7</v>
      </c>
      <c r="D14">
        <v>2022</v>
      </c>
      <c r="F14" s="6">
        <v>5</v>
      </c>
      <c r="G14" s="2">
        <v>95.100000000000009</v>
      </c>
      <c r="H14" s="2">
        <v>11</v>
      </c>
    </row>
    <row r="15" spans="1:8" x14ac:dyDescent="0.25">
      <c r="A15">
        <v>1</v>
      </c>
      <c r="B15">
        <v>14</v>
      </c>
      <c r="C15">
        <v>3.8</v>
      </c>
      <c r="D15">
        <v>2022</v>
      </c>
      <c r="F15" s="6">
        <v>6</v>
      </c>
      <c r="G15" s="2">
        <v>192</v>
      </c>
      <c r="H15" s="2">
        <v>17</v>
      </c>
    </row>
    <row r="16" spans="1:8" x14ac:dyDescent="0.25">
      <c r="A16">
        <v>1</v>
      </c>
      <c r="B16">
        <v>15</v>
      </c>
      <c r="C16">
        <v>0.9</v>
      </c>
      <c r="D16">
        <v>2022</v>
      </c>
      <c r="F16" s="6">
        <v>7</v>
      </c>
      <c r="G16" s="2">
        <v>671.99999999999989</v>
      </c>
      <c r="H16" s="2">
        <v>29</v>
      </c>
    </row>
    <row r="17" spans="1:8" x14ac:dyDescent="0.25">
      <c r="A17">
        <v>1</v>
      </c>
      <c r="B17">
        <v>16</v>
      </c>
      <c r="C17">
        <v>5</v>
      </c>
      <c r="D17">
        <v>2022</v>
      </c>
      <c r="F17" s="6">
        <v>8</v>
      </c>
      <c r="G17" s="2">
        <v>394</v>
      </c>
      <c r="H17" s="2">
        <v>18</v>
      </c>
    </row>
    <row r="18" spans="1:8" x14ac:dyDescent="0.25">
      <c r="A18">
        <v>1</v>
      </c>
      <c r="B18">
        <v>17</v>
      </c>
      <c r="C18">
        <v>5.4</v>
      </c>
      <c r="D18">
        <v>2022</v>
      </c>
      <c r="F18" s="6">
        <v>9</v>
      </c>
      <c r="G18" s="2">
        <v>642.89999999999986</v>
      </c>
      <c r="H18" s="2">
        <v>24</v>
      </c>
    </row>
    <row r="19" spans="1:8" x14ac:dyDescent="0.25">
      <c r="A19">
        <v>1</v>
      </c>
      <c r="B19">
        <v>18</v>
      </c>
      <c r="C19">
        <v>1</v>
      </c>
      <c r="D19">
        <v>2022</v>
      </c>
      <c r="F19" s="6">
        <v>10</v>
      </c>
      <c r="G19" s="2">
        <v>276.3</v>
      </c>
      <c r="H19" s="2">
        <v>14</v>
      </c>
    </row>
    <row r="20" spans="1:8" x14ac:dyDescent="0.25">
      <c r="A20">
        <v>2</v>
      </c>
      <c r="B20">
        <v>19</v>
      </c>
      <c r="C20">
        <v>25.8</v>
      </c>
      <c r="D20">
        <v>2022</v>
      </c>
      <c r="F20" s="5">
        <v>2022</v>
      </c>
      <c r="G20" s="2">
        <v>1259.3000000000002</v>
      </c>
      <c r="H20" s="2">
        <v>103</v>
      </c>
    </row>
    <row r="21" spans="1:8" x14ac:dyDescent="0.25">
      <c r="A21">
        <v>2</v>
      </c>
      <c r="B21">
        <v>20</v>
      </c>
      <c r="C21">
        <v>15.7</v>
      </c>
      <c r="D21">
        <v>2022</v>
      </c>
      <c r="F21" s="6">
        <v>1</v>
      </c>
      <c r="G21" s="2">
        <v>112.20000000000002</v>
      </c>
      <c r="H21" s="2">
        <v>18</v>
      </c>
    </row>
    <row r="22" spans="1:8" x14ac:dyDescent="0.25">
      <c r="A22">
        <v>2</v>
      </c>
      <c r="B22">
        <v>21</v>
      </c>
      <c r="C22">
        <v>9.6999999999999993</v>
      </c>
      <c r="D22">
        <v>2022</v>
      </c>
      <c r="F22" s="6">
        <v>2</v>
      </c>
      <c r="G22" s="2">
        <v>129.5</v>
      </c>
      <c r="H22" s="2">
        <v>10</v>
      </c>
    </row>
    <row r="23" spans="1:8" x14ac:dyDescent="0.25">
      <c r="A23">
        <v>2</v>
      </c>
      <c r="B23">
        <v>22</v>
      </c>
      <c r="C23">
        <v>24.3</v>
      </c>
      <c r="D23">
        <v>2022</v>
      </c>
      <c r="F23" s="6">
        <v>3</v>
      </c>
      <c r="G23" s="2">
        <v>206.4</v>
      </c>
      <c r="H23" s="2">
        <v>4</v>
      </c>
    </row>
    <row r="24" spans="1:8" x14ac:dyDescent="0.25">
      <c r="A24">
        <v>2</v>
      </c>
      <c r="B24">
        <v>23</v>
      </c>
      <c r="C24">
        <v>4.2</v>
      </c>
      <c r="D24">
        <v>2022</v>
      </c>
      <c r="F24" s="6">
        <v>4</v>
      </c>
      <c r="G24" s="2">
        <v>43</v>
      </c>
      <c r="H24" s="2">
        <v>7</v>
      </c>
    </row>
    <row r="25" spans="1:8" x14ac:dyDescent="0.25">
      <c r="A25">
        <v>2</v>
      </c>
      <c r="B25">
        <v>24</v>
      </c>
      <c r="C25">
        <v>5.5</v>
      </c>
      <c r="D25">
        <v>2022</v>
      </c>
      <c r="F25" s="6">
        <v>5</v>
      </c>
      <c r="G25" s="2">
        <v>49.4</v>
      </c>
      <c r="H25" s="2">
        <v>4</v>
      </c>
    </row>
    <row r="26" spans="1:8" x14ac:dyDescent="0.25">
      <c r="A26">
        <v>2</v>
      </c>
      <c r="B26">
        <v>25</v>
      </c>
      <c r="C26">
        <v>1.1000000000000001</v>
      </c>
      <c r="D26">
        <v>2022</v>
      </c>
      <c r="F26" s="6">
        <v>6</v>
      </c>
      <c r="G26" s="2">
        <v>200.3</v>
      </c>
      <c r="H26" s="2">
        <v>14</v>
      </c>
    </row>
    <row r="27" spans="1:8" x14ac:dyDescent="0.25">
      <c r="A27">
        <v>2</v>
      </c>
      <c r="B27">
        <v>26</v>
      </c>
      <c r="C27">
        <v>1.8</v>
      </c>
      <c r="D27">
        <v>2022</v>
      </c>
      <c r="F27" s="6">
        <v>7</v>
      </c>
      <c r="G27" s="2">
        <v>309.19999999999993</v>
      </c>
      <c r="H27" s="2">
        <v>18</v>
      </c>
    </row>
    <row r="28" spans="1:8" x14ac:dyDescent="0.25">
      <c r="A28">
        <v>2</v>
      </c>
      <c r="B28">
        <v>27</v>
      </c>
      <c r="C28">
        <v>7.5</v>
      </c>
      <c r="D28">
        <v>2022</v>
      </c>
      <c r="F28" s="6">
        <v>8</v>
      </c>
      <c r="G28" s="2">
        <v>36.200000000000003</v>
      </c>
      <c r="H28" s="2">
        <v>7</v>
      </c>
    </row>
    <row r="29" spans="1:8" x14ac:dyDescent="0.25">
      <c r="A29">
        <v>2</v>
      </c>
      <c r="B29">
        <v>28</v>
      </c>
      <c r="C29">
        <v>33.9</v>
      </c>
      <c r="D29">
        <v>2022</v>
      </c>
      <c r="F29" s="6">
        <v>9</v>
      </c>
      <c r="G29" s="2">
        <v>25.7</v>
      </c>
      <c r="H29" s="2">
        <v>6</v>
      </c>
    </row>
    <row r="30" spans="1:8" x14ac:dyDescent="0.25">
      <c r="A30">
        <v>3</v>
      </c>
      <c r="B30">
        <v>29</v>
      </c>
      <c r="C30">
        <v>102.7</v>
      </c>
      <c r="D30">
        <v>2022</v>
      </c>
      <c r="F30" s="6">
        <v>10</v>
      </c>
      <c r="G30" s="2">
        <v>147.39999999999998</v>
      </c>
      <c r="H30" s="2">
        <v>15</v>
      </c>
    </row>
    <row r="31" spans="1:8" x14ac:dyDescent="0.25">
      <c r="A31">
        <v>3</v>
      </c>
      <c r="B31">
        <v>30</v>
      </c>
      <c r="C31">
        <v>5.3</v>
      </c>
      <c r="D31">
        <v>2022</v>
      </c>
      <c r="F31" s="5" t="s">
        <v>6</v>
      </c>
      <c r="G31" s="2"/>
      <c r="H31" s="2"/>
    </row>
    <row r="32" spans="1:8" x14ac:dyDescent="0.25">
      <c r="A32">
        <v>3</v>
      </c>
      <c r="B32">
        <v>31</v>
      </c>
      <c r="C32">
        <v>92.1</v>
      </c>
      <c r="D32">
        <v>2022</v>
      </c>
      <c r="F32" s="6" t="s">
        <v>6</v>
      </c>
      <c r="G32" s="2"/>
      <c r="H32" s="2"/>
    </row>
    <row r="33" spans="1:8" x14ac:dyDescent="0.25">
      <c r="A33">
        <v>3</v>
      </c>
      <c r="B33">
        <v>32</v>
      </c>
      <c r="C33">
        <v>6.3</v>
      </c>
      <c r="D33">
        <v>2022</v>
      </c>
      <c r="F33" s="5" t="s">
        <v>7</v>
      </c>
      <c r="G33" s="2">
        <v>4728.4000000000005</v>
      </c>
      <c r="H33" s="2">
        <v>261</v>
      </c>
    </row>
    <row r="34" spans="1:8" x14ac:dyDescent="0.25">
      <c r="A34">
        <v>4</v>
      </c>
      <c r="B34">
        <v>33</v>
      </c>
      <c r="C34">
        <v>12.3</v>
      </c>
      <c r="D34">
        <v>2022</v>
      </c>
    </row>
    <row r="35" spans="1:8" x14ac:dyDescent="0.25">
      <c r="A35">
        <v>4</v>
      </c>
      <c r="B35">
        <v>34</v>
      </c>
      <c r="C35">
        <v>2.4</v>
      </c>
      <c r="D35">
        <v>2022</v>
      </c>
    </row>
    <row r="36" spans="1:8" x14ac:dyDescent="0.25">
      <c r="A36">
        <v>4</v>
      </c>
      <c r="B36">
        <v>35</v>
      </c>
      <c r="C36">
        <v>1.9</v>
      </c>
      <c r="D36">
        <v>2022</v>
      </c>
    </row>
    <row r="37" spans="1:8" x14ac:dyDescent="0.25">
      <c r="A37">
        <v>4</v>
      </c>
      <c r="B37">
        <v>36</v>
      </c>
      <c r="C37">
        <v>0.5</v>
      </c>
      <c r="D37">
        <v>2022</v>
      </c>
    </row>
    <row r="38" spans="1:8" x14ac:dyDescent="0.25">
      <c r="A38">
        <v>4</v>
      </c>
      <c r="B38">
        <v>37</v>
      </c>
      <c r="C38">
        <v>9.8000000000000007</v>
      </c>
      <c r="D38">
        <v>2022</v>
      </c>
    </row>
    <row r="39" spans="1:8" x14ac:dyDescent="0.25">
      <c r="A39">
        <v>4</v>
      </c>
      <c r="B39">
        <v>38</v>
      </c>
      <c r="C39">
        <v>10.7</v>
      </c>
      <c r="D39">
        <v>2022</v>
      </c>
    </row>
    <row r="40" spans="1:8" x14ac:dyDescent="0.25">
      <c r="A40">
        <v>4</v>
      </c>
      <c r="B40">
        <v>39</v>
      </c>
      <c r="C40">
        <v>5.4</v>
      </c>
      <c r="D40">
        <v>2022</v>
      </c>
    </row>
    <row r="41" spans="1:8" x14ac:dyDescent="0.25">
      <c r="A41">
        <v>5</v>
      </c>
      <c r="B41">
        <v>40</v>
      </c>
      <c r="C41">
        <v>6.1</v>
      </c>
      <c r="D41">
        <v>2022</v>
      </c>
    </row>
    <row r="42" spans="1:8" x14ac:dyDescent="0.25">
      <c r="A42">
        <v>5</v>
      </c>
      <c r="B42">
        <v>41</v>
      </c>
      <c r="C42">
        <v>34.4</v>
      </c>
      <c r="D42">
        <v>2022</v>
      </c>
    </row>
    <row r="43" spans="1:8" x14ac:dyDescent="0.25">
      <c r="A43">
        <v>5</v>
      </c>
      <c r="B43">
        <v>42</v>
      </c>
      <c r="C43">
        <v>7.6</v>
      </c>
      <c r="D43">
        <v>2022</v>
      </c>
    </row>
    <row r="44" spans="1:8" x14ac:dyDescent="0.25">
      <c r="A44">
        <v>5</v>
      </c>
      <c r="B44">
        <v>43</v>
      </c>
      <c r="C44">
        <v>1.3</v>
      </c>
      <c r="D44">
        <v>2022</v>
      </c>
    </row>
    <row r="45" spans="1:8" x14ac:dyDescent="0.25">
      <c r="A45">
        <v>6</v>
      </c>
      <c r="B45">
        <v>44</v>
      </c>
      <c r="C45">
        <v>2</v>
      </c>
      <c r="D45">
        <v>2022</v>
      </c>
    </row>
    <row r="46" spans="1:8" x14ac:dyDescent="0.25">
      <c r="A46">
        <v>6</v>
      </c>
      <c r="B46">
        <v>45</v>
      </c>
      <c r="C46">
        <v>4.4000000000000004</v>
      </c>
      <c r="D46">
        <v>2022</v>
      </c>
    </row>
    <row r="47" spans="1:8" x14ac:dyDescent="0.25">
      <c r="A47">
        <v>6</v>
      </c>
      <c r="B47">
        <v>46</v>
      </c>
      <c r="C47">
        <v>4.0999999999999996</v>
      </c>
      <c r="D47">
        <v>2022</v>
      </c>
    </row>
    <row r="48" spans="1:8" x14ac:dyDescent="0.25">
      <c r="A48">
        <v>6</v>
      </c>
      <c r="B48">
        <v>47</v>
      </c>
      <c r="C48">
        <v>32.1</v>
      </c>
      <c r="D48">
        <v>2022</v>
      </c>
    </row>
    <row r="49" spans="1:4" x14ac:dyDescent="0.25">
      <c r="A49">
        <v>6</v>
      </c>
      <c r="B49">
        <v>48</v>
      </c>
      <c r="C49">
        <v>0.4</v>
      </c>
      <c r="D49">
        <v>2022</v>
      </c>
    </row>
    <row r="50" spans="1:4" x14ac:dyDescent="0.25">
      <c r="A50">
        <v>6</v>
      </c>
      <c r="B50">
        <v>49</v>
      </c>
      <c r="C50">
        <v>4.0999999999999996</v>
      </c>
      <c r="D50">
        <v>2022</v>
      </c>
    </row>
    <row r="51" spans="1:4" x14ac:dyDescent="0.25">
      <c r="A51">
        <v>6</v>
      </c>
      <c r="B51">
        <v>50</v>
      </c>
      <c r="C51">
        <v>0.3</v>
      </c>
      <c r="D51">
        <v>2022</v>
      </c>
    </row>
    <row r="52" spans="1:4" x14ac:dyDescent="0.25">
      <c r="A52">
        <v>6</v>
      </c>
      <c r="B52">
        <v>51</v>
      </c>
      <c r="C52">
        <v>2.2999999999999998</v>
      </c>
      <c r="D52">
        <v>2022</v>
      </c>
    </row>
    <row r="53" spans="1:4" x14ac:dyDescent="0.25">
      <c r="A53">
        <v>6</v>
      </c>
      <c r="B53">
        <v>52</v>
      </c>
      <c r="C53">
        <v>4.5999999999999996</v>
      </c>
      <c r="D53">
        <v>2022</v>
      </c>
    </row>
    <row r="54" spans="1:4" x14ac:dyDescent="0.25">
      <c r="A54">
        <v>6</v>
      </c>
      <c r="B54">
        <v>53</v>
      </c>
      <c r="C54">
        <v>17.100000000000001</v>
      </c>
      <c r="D54">
        <v>2022</v>
      </c>
    </row>
    <row r="55" spans="1:4" x14ac:dyDescent="0.25">
      <c r="A55">
        <v>6</v>
      </c>
      <c r="B55">
        <v>54</v>
      </c>
      <c r="C55">
        <v>9.1999999999999993</v>
      </c>
      <c r="D55">
        <v>2022</v>
      </c>
    </row>
    <row r="56" spans="1:4" x14ac:dyDescent="0.25">
      <c r="A56">
        <v>6</v>
      </c>
      <c r="B56">
        <v>55</v>
      </c>
      <c r="C56">
        <v>5.7</v>
      </c>
      <c r="D56">
        <v>2022</v>
      </c>
    </row>
    <row r="57" spans="1:4" x14ac:dyDescent="0.25">
      <c r="A57">
        <v>6</v>
      </c>
      <c r="B57">
        <v>56</v>
      </c>
      <c r="C57">
        <v>62</v>
      </c>
      <c r="D57">
        <v>2022</v>
      </c>
    </row>
    <row r="58" spans="1:4" x14ac:dyDescent="0.25">
      <c r="A58">
        <v>6</v>
      </c>
      <c r="B58">
        <v>57</v>
      </c>
      <c r="C58">
        <v>52</v>
      </c>
      <c r="D58">
        <v>2022</v>
      </c>
    </row>
    <row r="59" spans="1:4" x14ac:dyDescent="0.25">
      <c r="A59">
        <v>7</v>
      </c>
      <c r="B59">
        <v>58</v>
      </c>
      <c r="C59">
        <v>19.8</v>
      </c>
      <c r="D59">
        <v>2022</v>
      </c>
    </row>
    <row r="60" spans="1:4" x14ac:dyDescent="0.25">
      <c r="A60">
        <v>7</v>
      </c>
      <c r="B60">
        <v>59</v>
      </c>
      <c r="C60">
        <v>28.2</v>
      </c>
      <c r="D60">
        <v>2022</v>
      </c>
    </row>
    <row r="61" spans="1:4" x14ac:dyDescent="0.25">
      <c r="A61">
        <v>7</v>
      </c>
      <c r="B61">
        <v>60</v>
      </c>
      <c r="C61">
        <v>8.8000000000000007</v>
      </c>
      <c r="D61">
        <v>2022</v>
      </c>
    </row>
    <row r="62" spans="1:4" x14ac:dyDescent="0.25">
      <c r="A62">
        <v>7</v>
      </c>
      <c r="B62">
        <v>61</v>
      </c>
      <c r="C62">
        <v>2.2999999999999998</v>
      </c>
      <c r="D62">
        <v>2022</v>
      </c>
    </row>
    <row r="63" spans="1:4" x14ac:dyDescent="0.25">
      <c r="A63">
        <v>7</v>
      </c>
      <c r="B63">
        <v>62</v>
      </c>
      <c r="C63">
        <v>25.3</v>
      </c>
      <c r="D63">
        <v>2022</v>
      </c>
    </row>
    <row r="64" spans="1:4" x14ac:dyDescent="0.25">
      <c r="A64">
        <v>7</v>
      </c>
      <c r="B64">
        <v>63</v>
      </c>
      <c r="C64">
        <v>11.3</v>
      </c>
      <c r="D64">
        <v>2022</v>
      </c>
    </row>
    <row r="65" spans="1:4" x14ac:dyDescent="0.25">
      <c r="A65">
        <v>7</v>
      </c>
      <c r="B65">
        <v>64</v>
      </c>
      <c r="C65">
        <v>1</v>
      </c>
      <c r="D65">
        <v>2022</v>
      </c>
    </row>
    <row r="66" spans="1:4" x14ac:dyDescent="0.25">
      <c r="A66">
        <v>7</v>
      </c>
      <c r="B66">
        <v>65</v>
      </c>
      <c r="C66">
        <v>17.5</v>
      </c>
      <c r="D66">
        <v>2022</v>
      </c>
    </row>
    <row r="67" spans="1:4" x14ac:dyDescent="0.25">
      <c r="A67">
        <v>7</v>
      </c>
      <c r="B67">
        <v>66</v>
      </c>
      <c r="C67">
        <v>45.1</v>
      </c>
      <c r="D67">
        <v>2022</v>
      </c>
    </row>
    <row r="68" spans="1:4" x14ac:dyDescent="0.25">
      <c r="A68">
        <v>7</v>
      </c>
      <c r="B68">
        <v>67</v>
      </c>
      <c r="C68">
        <v>13.7</v>
      </c>
      <c r="D68">
        <v>2022</v>
      </c>
    </row>
    <row r="69" spans="1:4" x14ac:dyDescent="0.25">
      <c r="A69">
        <v>7</v>
      </c>
      <c r="B69">
        <v>68</v>
      </c>
      <c r="C69">
        <v>1.3</v>
      </c>
      <c r="D69">
        <v>2022</v>
      </c>
    </row>
    <row r="70" spans="1:4" x14ac:dyDescent="0.25">
      <c r="A70">
        <v>7</v>
      </c>
      <c r="B70">
        <v>69</v>
      </c>
      <c r="C70">
        <v>8.1999999999999993</v>
      </c>
      <c r="D70">
        <v>2022</v>
      </c>
    </row>
    <row r="71" spans="1:4" x14ac:dyDescent="0.25">
      <c r="A71">
        <v>7</v>
      </c>
      <c r="B71">
        <v>70</v>
      </c>
      <c r="C71">
        <v>1.5</v>
      </c>
      <c r="D71">
        <v>2022</v>
      </c>
    </row>
    <row r="72" spans="1:4" x14ac:dyDescent="0.25">
      <c r="A72">
        <v>7</v>
      </c>
      <c r="B72">
        <v>71</v>
      </c>
      <c r="C72">
        <v>8</v>
      </c>
      <c r="D72">
        <v>2022</v>
      </c>
    </row>
    <row r="73" spans="1:4" x14ac:dyDescent="0.25">
      <c r="A73">
        <v>7</v>
      </c>
      <c r="B73">
        <v>72</v>
      </c>
      <c r="C73">
        <v>0.9</v>
      </c>
      <c r="D73">
        <v>2022</v>
      </c>
    </row>
    <row r="74" spans="1:4" x14ac:dyDescent="0.25">
      <c r="A74">
        <v>7</v>
      </c>
      <c r="B74">
        <v>73</v>
      </c>
      <c r="C74">
        <v>9.4</v>
      </c>
      <c r="D74">
        <v>2022</v>
      </c>
    </row>
    <row r="75" spans="1:4" x14ac:dyDescent="0.25">
      <c r="A75">
        <v>7</v>
      </c>
      <c r="B75">
        <v>74</v>
      </c>
      <c r="C75">
        <v>103</v>
      </c>
      <c r="D75">
        <v>2022</v>
      </c>
    </row>
    <row r="76" spans="1:4" x14ac:dyDescent="0.25">
      <c r="A76">
        <v>7</v>
      </c>
      <c r="B76">
        <v>75</v>
      </c>
      <c r="C76">
        <v>3.9</v>
      </c>
      <c r="D76">
        <v>2022</v>
      </c>
    </row>
    <row r="77" spans="1:4" x14ac:dyDescent="0.25">
      <c r="A77">
        <v>8</v>
      </c>
      <c r="B77">
        <v>76</v>
      </c>
      <c r="C77">
        <v>3.2</v>
      </c>
      <c r="D77">
        <v>2022</v>
      </c>
    </row>
    <row r="78" spans="1:4" x14ac:dyDescent="0.25">
      <c r="A78">
        <v>8</v>
      </c>
      <c r="B78">
        <v>77</v>
      </c>
      <c r="C78">
        <v>6.4</v>
      </c>
      <c r="D78">
        <v>2022</v>
      </c>
    </row>
    <row r="79" spans="1:4" x14ac:dyDescent="0.25">
      <c r="A79">
        <v>8</v>
      </c>
      <c r="B79">
        <v>78</v>
      </c>
      <c r="C79">
        <v>0.8</v>
      </c>
      <c r="D79">
        <v>2022</v>
      </c>
    </row>
    <row r="80" spans="1:4" x14ac:dyDescent="0.25">
      <c r="A80">
        <v>8</v>
      </c>
      <c r="B80">
        <v>79</v>
      </c>
      <c r="C80">
        <v>18.2</v>
      </c>
      <c r="D80">
        <v>2022</v>
      </c>
    </row>
    <row r="81" spans="1:4" x14ac:dyDescent="0.25">
      <c r="A81">
        <v>8</v>
      </c>
      <c r="B81">
        <v>80</v>
      </c>
      <c r="C81">
        <v>2</v>
      </c>
      <c r="D81">
        <v>2022</v>
      </c>
    </row>
    <row r="82" spans="1:4" x14ac:dyDescent="0.25">
      <c r="A82">
        <v>8</v>
      </c>
      <c r="B82">
        <v>81</v>
      </c>
      <c r="C82">
        <v>2.9</v>
      </c>
      <c r="D82">
        <v>2022</v>
      </c>
    </row>
    <row r="83" spans="1:4" x14ac:dyDescent="0.25">
      <c r="A83">
        <v>8</v>
      </c>
      <c r="B83">
        <v>82</v>
      </c>
      <c r="C83">
        <v>2.7</v>
      </c>
      <c r="D83">
        <v>2022</v>
      </c>
    </row>
    <row r="84" spans="1:4" x14ac:dyDescent="0.25">
      <c r="A84">
        <v>9</v>
      </c>
      <c r="B84">
        <v>83</v>
      </c>
      <c r="C84">
        <v>0.7</v>
      </c>
      <c r="D84">
        <v>2022</v>
      </c>
    </row>
    <row r="85" spans="1:4" x14ac:dyDescent="0.25">
      <c r="A85">
        <v>9</v>
      </c>
      <c r="B85">
        <v>84</v>
      </c>
      <c r="C85">
        <v>0.8</v>
      </c>
      <c r="D85">
        <v>2022</v>
      </c>
    </row>
    <row r="86" spans="1:4" x14ac:dyDescent="0.25">
      <c r="A86">
        <v>9</v>
      </c>
      <c r="B86">
        <v>85</v>
      </c>
      <c r="C86">
        <v>2.1</v>
      </c>
      <c r="D86">
        <v>2022</v>
      </c>
    </row>
    <row r="87" spans="1:4" x14ac:dyDescent="0.25">
      <c r="A87">
        <v>9</v>
      </c>
      <c r="B87">
        <v>86</v>
      </c>
      <c r="C87">
        <v>9.6999999999999993</v>
      </c>
      <c r="D87">
        <v>2022</v>
      </c>
    </row>
    <row r="88" spans="1:4" x14ac:dyDescent="0.25">
      <c r="A88">
        <v>9</v>
      </c>
      <c r="B88">
        <v>87</v>
      </c>
      <c r="C88">
        <v>7.1</v>
      </c>
      <c r="D88">
        <v>2022</v>
      </c>
    </row>
    <row r="89" spans="1:4" x14ac:dyDescent="0.25">
      <c r="A89">
        <v>9</v>
      </c>
      <c r="B89">
        <v>88</v>
      </c>
      <c r="C89">
        <v>5.3</v>
      </c>
      <c r="D89">
        <v>2022</v>
      </c>
    </row>
    <row r="90" spans="1:4" x14ac:dyDescent="0.25">
      <c r="A90">
        <v>10</v>
      </c>
      <c r="B90">
        <v>89</v>
      </c>
      <c r="C90">
        <v>19.2</v>
      </c>
      <c r="D90">
        <v>2022</v>
      </c>
    </row>
    <row r="91" spans="1:4" x14ac:dyDescent="0.25">
      <c r="A91">
        <v>10</v>
      </c>
      <c r="B91">
        <v>90</v>
      </c>
      <c r="C91">
        <v>1.2</v>
      </c>
      <c r="D91">
        <v>2022</v>
      </c>
    </row>
    <row r="92" spans="1:4" x14ac:dyDescent="0.25">
      <c r="A92">
        <v>10</v>
      </c>
      <c r="B92">
        <v>91</v>
      </c>
      <c r="C92">
        <v>0.2</v>
      </c>
      <c r="D92">
        <v>2022</v>
      </c>
    </row>
    <row r="93" spans="1:4" x14ac:dyDescent="0.25">
      <c r="A93">
        <v>10</v>
      </c>
      <c r="B93">
        <v>92</v>
      </c>
      <c r="C93">
        <v>1.2</v>
      </c>
      <c r="D93">
        <v>2022</v>
      </c>
    </row>
    <row r="94" spans="1:4" x14ac:dyDescent="0.25">
      <c r="A94">
        <v>10</v>
      </c>
      <c r="B94">
        <v>93</v>
      </c>
      <c r="C94">
        <v>3</v>
      </c>
      <c r="D94">
        <v>2022</v>
      </c>
    </row>
    <row r="95" spans="1:4" x14ac:dyDescent="0.25">
      <c r="A95">
        <v>10</v>
      </c>
      <c r="B95">
        <v>94</v>
      </c>
      <c r="C95">
        <v>5.4</v>
      </c>
      <c r="D95">
        <v>2022</v>
      </c>
    </row>
    <row r="96" spans="1:4" x14ac:dyDescent="0.25">
      <c r="A96">
        <v>10</v>
      </c>
      <c r="B96">
        <v>95</v>
      </c>
      <c r="C96">
        <v>0.5</v>
      </c>
      <c r="D96">
        <v>2022</v>
      </c>
    </row>
    <row r="97" spans="1:4" x14ac:dyDescent="0.25">
      <c r="A97">
        <v>10</v>
      </c>
      <c r="B97">
        <v>96</v>
      </c>
      <c r="C97">
        <v>48</v>
      </c>
      <c r="D97">
        <v>2022</v>
      </c>
    </row>
    <row r="98" spans="1:4" x14ac:dyDescent="0.25">
      <c r="A98">
        <v>10</v>
      </c>
      <c r="B98">
        <v>97</v>
      </c>
      <c r="C98">
        <v>4.5999999999999996</v>
      </c>
      <c r="D98">
        <v>2022</v>
      </c>
    </row>
    <row r="99" spans="1:4" x14ac:dyDescent="0.25">
      <c r="A99">
        <v>10</v>
      </c>
      <c r="B99">
        <v>98</v>
      </c>
      <c r="C99">
        <v>20</v>
      </c>
      <c r="D99">
        <v>2022</v>
      </c>
    </row>
    <row r="100" spans="1:4" x14ac:dyDescent="0.25">
      <c r="A100">
        <v>10</v>
      </c>
      <c r="B100">
        <v>99</v>
      </c>
      <c r="C100">
        <v>2.9</v>
      </c>
      <c r="D100">
        <v>2022</v>
      </c>
    </row>
    <row r="101" spans="1:4" x14ac:dyDescent="0.25">
      <c r="A101">
        <v>10</v>
      </c>
      <c r="B101">
        <v>100</v>
      </c>
      <c r="C101">
        <v>28.1</v>
      </c>
      <c r="D101">
        <v>2022</v>
      </c>
    </row>
    <row r="102" spans="1:4" x14ac:dyDescent="0.25">
      <c r="A102">
        <v>10</v>
      </c>
      <c r="B102">
        <v>101</v>
      </c>
      <c r="C102">
        <v>1.1000000000000001</v>
      </c>
      <c r="D102">
        <v>2022</v>
      </c>
    </row>
    <row r="103" spans="1:4" x14ac:dyDescent="0.25">
      <c r="A103">
        <v>10</v>
      </c>
      <c r="B103">
        <v>102</v>
      </c>
      <c r="C103">
        <v>0.7</v>
      </c>
      <c r="D103">
        <v>2022</v>
      </c>
    </row>
    <row r="104" spans="1:4" x14ac:dyDescent="0.25">
      <c r="A104">
        <v>10</v>
      </c>
      <c r="B104">
        <v>103</v>
      </c>
      <c r="C104">
        <v>11.3</v>
      </c>
      <c r="D104">
        <v>2022</v>
      </c>
    </row>
    <row r="105" spans="1:4" x14ac:dyDescent="0.25">
      <c r="A105">
        <v>1</v>
      </c>
      <c r="B105">
        <v>1</v>
      </c>
      <c r="C105">
        <v>15.5</v>
      </c>
      <c r="D105">
        <v>2015</v>
      </c>
    </row>
    <row r="106" spans="1:4" x14ac:dyDescent="0.25">
      <c r="A106">
        <v>1</v>
      </c>
      <c r="B106">
        <v>2</v>
      </c>
      <c r="C106">
        <v>12.8</v>
      </c>
      <c r="D106">
        <v>2015</v>
      </c>
    </row>
    <row r="107" spans="1:4" x14ac:dyDescent="0.25">
      <c r="A107">
        <v>1</v>
      </c>
      <c r="B107">
        <v>3</v>
      </c>
      <c r="C107">
        <v>20.399999999999999</v>
      </c>
      <c r="D107">
        <v>2015</v>
      </c>
    </row>
    <row r="108" spans="1:4" x14ac:dyDescent="0.25">
      <c r="A108">
        <v>1</v>
      </c>
      <c r="B108">
        <v>4</v>
      </c>
      <c r="C108">
        <v>13.6</v>
      </c>
      <c r="D108">
        <v>2015</v>
      </c>
    </row>
    <row r="109" spans="1:4" x14ac:dyDescent="0.25">
      <c r="A109">
        <v>1</v>
      </c>
      <c r="B109">
        <v>5</v>
      </c>
      <c r="C109">
        <v>24.7</v>
      </c>
      <c r="D109">
        <v>2015</v>
      </c>
    </row>
    <row r="110" spans="1:4" x14ac:dyDescent="0.25">
      <c r="A110">
        <v>1</v>
      </c>
      <c r="B110">
        <v>6</v>
      </c>
      <c r="C110">
        <v>16.399999999999999</v>
      </c>
      <c r="D110">
        <v>2015</v>
      </c>
    </row>
    <row r="111" spans="1:4" x14ac:dyDescent="0.25">
      <c r="A111">
        <v>1</v>
      </c>
      <c r="B111">
        <v>7</v>
      </c>
      <c r="C111">
        <v>30.1</v>
      </c>
      <c r="D111">
        <v>2015</v>
      </c>
    </row>
    <row r="112" spans="1:4" x14ac:dyDescent="0.25">
      <c r="A112">
        <v>1</v>
      </c>
      <c r="B112">
        <v>8</v>
      </c>
      <c r="C112">
        <v>19</v>
      </c>
      <c r="D112">
        <v>2015</v>
      </c>
    </row>
    <row r="113" spans="1:4" x14ac:dyDescent="0.25">
      <c r="A113">
        <v>1</v>
      </c>
      <c r="B113">
        <v>9</v>
      </c>
      <c r="C113">
        <v>12.9</v>
      </c>
      <c r="D113">
        <v>2015</v>
      </c>
    </row>
    <row r="114" spans="1:4" x14ac:dyDescent="0.25">
      <c r="A114">
        <v>1</v>
      </c>
      <c r="B114">
        <v>10</v>
      </c>
      <c r="C114">
        <v>13.3</v>
      </c>
      <c r="D114">
        <v>2015</v>
      </c>
    </row>
    <row r="115" spans="1:4" x14ac:dyDescent="0.25">
      <c r="A115">
        <v>1</v>
      </c>
      <c r="B115">
        <v>11</v>
      </c>
      <c r="C115">
        <v>10.1</v>
      </c>
      <c r="D115">
        <v>2015</v>
      </c>
    </row>
    <row r="116" spans="1:4" x14ac:dyDescent="0.25">
      <c r="A116">
        <v>1</v>
      </c>
      <c r="B116">
        <v>12</v>
      </c>
      <c r="C116">
        <v>26.5</v>
      </c>
      <c r="D116">
        <v>2015</v>
      </c>
    </row>
    <row r="117" spans="1:4" x14ac:dyDescent="0.25">
      <c r="A117">
        <v>1</v>
      </c>
      <c r="B117">
        <v>13</v>
      </c>
      <c r="C117">
        <v>4.2</v>
      </c>
      <c r="D117">
        <v>2015</v>
      </c>
    </row>
    <row r="118" spans="1:4" x14ac:dyDescent="0.25">
      <c r="A118">
        <v>1</v>
      </c>
      <c r="B118">
        <v>14</v>
      </c>
      <c r="C118">
        <v>37</v>
      </c>
      <c r="D118">
        <v>2015</v>
      </c>
    </row>
    <row r="119" spans="1:4" x14ac:dyDescent="0.25">
      <c r="A119">
        <v>1</v>
      </c>
      <c r="B119">
        <v>15</v>
      </c>
      <c r="C119">
        <v>23.7</v>
      </c>
      <c r="D119">
        <v>2015</v>
      </c>
    </row>
    <row r="120" spans="1:4" x14ac:dyDescent="0.25">
      <c r="A120">
        <v>1</v>
      </c>
      <c r="B120">
        <v>16</v>
      </c>
      <c r="C120">
        <v>13.1</v>
      </c>
      <c r="D120">
        <v>2015</v>
      </c>
    </row>
    <row r="121" spans="1:4" x14ac:dyDescent="0.25">
      <c r="A121">
        <v>2</v>
      </c>
      <c r="B121">
        <v>17</v>
      </c>
      <c r="C121">
        <v>34.700000000000003</v>
      </c>
      <c r="D121">
        <v>2015</v>
      </c>
    </row>
    <row r="122" spans="1:4" x14ac:dyDescent="0.25">
      <c r="A122">
        <v>2</v>
      </c>
      <c r="B122">
        <v>18</v>
      </c>
      <c r="C122">
        <v>6.5</v>
      </c>
      <c r="D122">
        <v>2015</v>
      </c>
    </row>
    <row r="123" spans="1:4" x14ac:dyDescent="0.25">
      <c r="A123">
        <v>2</v>
      </c>
      <c r="B123">
        <v>19</v>
      </c>
      <c r="C123">
        <v>12.3</v>
      </c>
      <c r="D123">
        <v>2015</v>
      </c>
    </row>
    <row r="124" spans="1:4" x14ac:dyDescent="0.25">
      <c r="A124">
        <v>2</v>
      </c>
      <c r="B124">
        <v>20</v>
      </c>
      <c r="C124">
        <v>2.1</v>
      </c>
      <c r="D124">
        <v>2015</v>
      </c>
    </row>
    <row r="125" spans="1:4" x14ac:dyDescent="0.25">
      <c r="A125">
        <v>2</v>
      </c>
      <c r="B125">
        <v>21</v>
      </c>
      <c r="C125">
        <v>11.9</v>
      </c>
      <c r="D125">
        <v>2015</v>
      </c>
    </row>
    <row r="126" spans="1:4" x14ac:dyDescent="0.25">
      <c r="A126">
        <v>2</v>
      </c>
      <c r="B126">
        <v>22</v>
      </c>
      <c r="C126">
        <v>3.9</v>
      </c>
      <c r="D126">
        <v>2015</v>
      </c>
    </row>
    <row r="127" spans="1:4" x14ac:dyDescent="0.25">
      <c r="A127">
        <v>2</v>
      </c>
      <c r="B127">
        <v>23</v>
      </c>
      <c r="C127">
        <v>17.5</v>
      </c>
      <c r="D127">
        <v>2015</v>
      </c>
    </row>
    <row r="128" spans="1:4" x14ac:dyDescent="0.25">
      <c r="A128">
        <v>2</v>
      </c>
      <c r="B128">
        <v>24</v>
      </c>
      <c r="C128">
        <v>10.1</v>
      </c>
      <c r="D128">
        <v>2015</v>
      </c>
    </row>
    <row r="129" spans="1:4" x14ac:dyDescent="0.25">
      <c r="A129">
        <v>2</v>
      </c>
      <c r="B129">
        <v>25</v>
      </c>
      <c r="C129">
        <v>4.3</v>
      </c>
      <c r="D129">
        <v>2015</v>
      </c>
    </row>
    <row r="130" spans="1:4" x14ac:dyDescent="0.25">
      <c r="A130">
        <v>3</v>
      </c>
      <c r="B130">
        <v>26</v>
      </c>
      <c r="C130">
        <v>7.9</v>
      </c>
      <c r="D130">
        <v>2015</v>
      </c>
    </row>
    <row r="131" spans="1:4" x14ac:dyDescent="0.25">
      <c r="A131">
        <v>3</v>
      </c>
      <c r="B131">
        <v>27</v>
      </c>
      <c r="C131">
        <v>22.7</v>
      </c>
      <c r="D131">
        <v>2015</v>
      </c>
    </row>
    <row r="132" spans="1:4" x14ac:dyDescent="0.25">
      <c r="A132">
        <v>3</v>
      </c>
      <c r="B132">
        <v>28</v>
      </c>
      <c r="C132">
        <v>9.6</v>
      </c>
      <c r="D132">
        <v>2015</v>
      </c>
    </row>
    <row r="133" spans="1:4" x14ac:dyDescent="0.25">
      <c r="A133">
        <v>3</v>
      </c>
      <c r="B133">
        <v>29</v>
      </c>
      <c r="C133">
        <v>373</v>
      </c>
      <c r="D133">
        <v>2015</v>
      </c>
    </row>
    <row r="134" spans="1:4" x14ac:dyDescent="0.25">
      <c r="A134">
        <v>3</v>
      </c>
      <c r="B134">
        <v>30</v>
      </c>
      <c r="C134">
        <v>28.4</v>
      </c>
      <c r="D134">
        <v>2015</v>
      </c>
    </row>
    <row r="135" spans="1:4" x14ac:dyDescent="0.25">
      <c r="A135">
        <v>3</v>
      </c>
      <c r="B135">
        <v>31</v>
      </c>
      <c r="C135">
        <v>4.7</v>
      </c>
      <c r="D135">
        <v>2015</v>
      </c>
    </row>
    <row r="136" spans="1:4" x14ac:dyDescent="0.25">
      <c r="A136">
        <v>3</v>
      </c>
      <c r="B136">
        <v>32</v>
      </c>
      <c r="C136">
        <v>3.2</v>
      </c>
      <c r="D136">
        <v>2015</v>
      </c>
    </row>
    <row r="137" spans="1:4" x14ac:dyDescent="0.25">
      <c r="A137">
        <v>3</v>
      </c>
      <c r="B137">
        <v>33</v>
      </c>
      <c r="C137">
        <v>2.2999999999999998</v>
      </c>
      <c r="D137">
        <v>2015</v>
      </c>
    </row>
    <row r="138" spans="1:4" x14ac:dyDescent="0.25">
      <c r="A138">
        <v>3</v>
      </c>
      <c r="B138">
        <v>34</v>
      </c>
      <c r="C138">
        <v>8.3000000000000007</v>
      </c>
      <c r="D138">
        <v>2015</v>
      </c>
    </row>
    <row r="139" spans="1:4" x14ac:dyDescent="0.25">
      <c r="A139">
        <v>3</v>
      </c>
      <c r="B139">
        <v>35</v>
      </c>
      <c r="C139">
        <v>56.7</v>
      </c>
      <c r="D139">
        <v>2015</v>
      </c>
    </row>
    <row r="140" spans="1:4" x14ac:dyDescent="0.25">
      <c r="A140">
        <v>3</v>
      </c>
      <c r="B140">
        <v>36</v>
      </c>
      <c r="C140">
        <v>6.8</v>
      </c>
      <c r="D140">
        <v>2015</v>
      </c>
    </row>
    <row r="141" spans="1:4" x14ac:dyDescent="0.25">
      <c r="A141">
        <v>3</v>
      </c>
      <c r="B141">
        <v>37</v>
      </c>
      <c r="C141">
        <v>59.8</v>
      </c>
      <c r="D141">
        <v>2015</v>
      </c>
    </row>
    <row r="142" spans="1:4" x14ac:dyDescent="0.25">
      <c r="A142">
        <v>3</v>
      </c>
      <c r="B142">
        <v>38</v>
      </c>
      <c r="C142">
        <v>2.9</v>
      </c>
      <c r="D142">
        <v>2015</v>
      </c>
    </row>
    <row r="143" spans="1:4" x14ac:dyDescent="0.25">
      <c r="A143">
        <v>3</v>
      </c>
      <c r="B143">
        <v>39</v>
      </c>
      <c r="C143">
        <v>7.7</v>
      </c>
      <c r="D143">
        <v>2015</v>
      </c>
    </row>
    <row r="144" spans="1:4" x14ac:dyDescent="0.25">
      <c r="A144">
        <v>4</v>
      </c>
      <c r="B144">
        <v>40</v>
      </c>
      <c r="C144">
        <v>3.3</v>
      </c>
      <c r="D144">
        <v>2015</v>
      </c>
    </row>
    <row r="145" spans="1:4" x14ac:dyDescent="0.25">
      <c r="A145">
        <v>4</v>
      </c>
      <c r="B145">
        <v>41</v>
      </c>
      <c r="C145">
        <v>64.8</v>
      </c>
      <c r="D145">
        <v>2015</v>
      </c>
    </row>
    <row r="146" spans="1:4" x14ac:dyDescent="0.25">
      <c r="A146">
        <v>4</v>
      </c>
      <c r="B146">
        <v>42</v>
      </c>
      <c r="C146">
        <v>4.0999999999999996</v>
      </c>
      <c r="D146">
        <v>2015</v>
      </c>
    </row>
    <row r="147" spans="1:4" x14ac:dyDescent="0.25">
      <c r="A147">
        <v>4</v>
      </c>
      <c r="B147">
        <v>43</v>
      </c>
      <c r="C147">
        <v>8.9</v>
      </c>
      <c r="D147">
        <v>2015</v>
      </c>
    </row>
    <row r="148" spans="1:4" x14ac:dyDescent="0.25">
      <c r="A148">
        <v>4</v>
      </c>
      <c r="B148">
        <v>44</v>
      </c>
      <c r="C148">
        <v>13.1</v>
      </c>
      <c r="D148">
        <v>2015</v>
      </c>
    </row>
    <row r="149" spans="1:4" x14ac:dyDescent="0.25">
      <c r="A149">
        <v>4</v>
      </c>
      <c r="B149">
        <v>45</v>
      </c>
      <c r="C149">
        <v>112</v>
      </c>
      <c r="D149">
        <v>2015</v>
      </c>
    </row>
    <row r="150" spans="1:4" x14ac:dyDescent="0.25">
      <c r="A150">
        <v>5</v>
      </c>
      <c r="B150">
        <v>46</v>
      </c>
      <c r="C150">
        <v>6.4</v>
      </c>
      <c r="D150">
        <v>2015</v>
      </c>
    </row>
    <row r="151" spans="1:4" x14ac:dyDescent="0.25">
      <c r="A151">
        <v>5</v>
      </c>
      <c r="B151">
        <v>47</v>
      </c>
      <c r="C151">
        <v>2.6</v>
      </c>
      <c r="D151">
        <v>2015</v>
      </c>
    </row>
    <row r="152" spans="1:4" x14ac:dyDescent="0.25">
      <c r="A152">
        <v>5</v>
      </c>
      <c r="B152">
        <v>48</v>
      </c>
      <c r="C152">
        <v>11.6</v>
      </c>
      <c r="D152">
        <v>2015</v>
      </c>
    </row>
    <row r="153" spans="1:4" x14ac:dyDescent="0.25">
      <c r="A153">
        <v>5</v>
      </c>
      <c r="B153">
        <v>49</v>
      </c>
      <c r="C153">
        <v>2.9</v>
      </c>
      <c r="D153">
        <v>2015</v>
      </c>
    </row>
    <row r="154" spans="1:4" x14ac:dyDescent="0.25">
      <c r="A154">
        <v>5</v>
      </c>
      <c r="B154">
        <v>50</v>
      </c>
      <c r="C154">
        <v>26.6</v>
      </c>
      <c r="D154">
        <v>2015</v>
      </c>
    </row>
    <row r="155" spans="1:4" x14ac:dyDescent="0.25">
      <c r="A155">
        <v>5</v>
      </c>
      <c r="B155">
        <v>51</v>
      </c>
      <c r="C155">
        <v>0.6</v>
      </c>
      <c r="D155">
        <v>2015</v>
      </c>
    </row>
    <row r="156" spans="1:4" x14ac:dyDescent="0.25">
      <c r="A156">
        <v>5</v>
      </c>
      <c r="B156">
        <v>52</v>
      </c>
      <c r="C156">
        <v>19</v>
      </c>
      <c r="D156">
        <v>2015</v>
      </c>
    </row>
    <row r="157" spans="1:4" x14ac:dyDescent="0.25">
      <c r="A157">
        <v>5</v>
      </c>
      <c r="B157">
        <v>53</v>
      </c>
      <c r="C157">
        <v>6.2</v>
      </c>
      <c r="D157">
        <v>2015</v>
      </c>
    </row>
    <row r="158" spans="1:4" x14ac:dyDescent="0.25">
      <c r="A158">
        <v>5</v>
      </c>
      <c r="B158">
        <v>54</v>
      </c>
      <c r="C158">
        <v>4.9000000000000004</v>
      </c>
      <c r="D158">
        <v>2015</v>
      </c>
    </row>
    <row r="159" spans="1:4" x14ac:dyDescent="0.25">
      <c r="A159">
        <v>5</v>
      </c>
      <c r="B159">
        <v>55</v>
      </c>
      <c r="C159">
        <v>7.1</v>
      </c>
      <c r="D159">
        <v>2015</v>
      </c>
    </row>
    <row r="160" spans="1:4" x14ac:dyDescent="0.25">
      <c r="A160">
        <v>5</v>
      </c>
      <c r="B160">
        <v>56</v>
      </c>
      <c r="C160">
        <v>7.2</v>
      </c>
      <c r="D160">
        <v>2015</v>
      </c>
    </row>
    <row r="161" spans="1:4" x14ac:dyDescent="0.25">
      <c r="A161">
        <v>6</v>
      </c>
      <c r="B161">
        <v>57</v>
      </c>
      <c r="C161">
        <v>23.9</v>
      </c>
      <c r="D161">
        <v>2015</v>
      </c>
    </row>
    <row r="162" spans="1:4" x14ac:dyDescent="0.25">
      <c r="A162">
        <v>6</v>
      </c>
      <c r="B162">
        <v>58</v>
      </c>
      <c r="C162">
        <v>30.5</v>
      </c>
      <c r="D162">
        <v>2015</v>
      </c>
    </row>
    <row r="163" spans="1:4" x14ac:dyDescent="0.25">
      <c r="A163">
        <v>6</v>
      </c>
      <c r="B163">
        <v>59</v>
      </c>
      <c r="C163">
        <v>8</v>
      </c>
      <c r="D163">
        <v>2015</v>
      </c>
    </row>
    <row r="164" spans="1:4" x14ac:dyDescent="0.25">
      <c r="A164">
        <v>6</v>
      </c>
      <c r="B164">
        <v>60</v>
      </c>
      <c r="C164">
        <v>14.6</v>
      </c>
      <c r="D164">
        <v>2015</v>
      </c>
    </row>
    <row r="165" spans="1:4" x14ac:dyDescent="0.25">
      <c r="A165">
        <v>6</v>
      </c>
      <c r="B165">
        <v>61</v>
      </c>
      <c r="C165">
        <v>6.2</v>
      </c>
      <c r="D165">
        <v>2015</v>
      </c>
    </row>
    <row r="166" spans="1:4" x14ac:dyDescent="0.25">
      <c r="A166">
        <v>6</v>
      </c>
      <c r="B166">
        <v>62</v>
      </c>
      <c r="C166">
        <v>8.6999999999999993</v>
      </c>
      <c r="D166">
        <v>2015</v>
      </c>
    </row>
    <row r="167" spans="1:4" x14ac:dyDescent="0.25">
      <c r="A167">
        <v>6</v>
      </c>
      <c r="B167">
        <v>63</v>
      </c>
      <c r="C167">
        <v>13.4</v>
      </c>
      <c r="D167">
        <v>2015</v>
      </c>
    </row>
    <row r="168" spans="1:4" x14ac:dyDescent="0.25">
      <c r="A168">
        <v>6</v>
      </c>
      <c r="B168">
        <v>64</v>
      </c>
      <c r="C168">
        <v>4.8</v>
      </c>
      <c r="D168">
        <v>2015</v>
      </c>
    </row>
    <row r="169" spans="1:4" x14ac:dyDescent="0.25">
      <c r="A169">
        <v>6</v>
      </c>
      <c r="B169">
        <v>65</v>
      </c>
      <c r="C169">
        <v>1.5</v>
      </c>
      <c r="D169">
        <v>2015</v>
      </c>
    </row>
    <row r="170" spans="1:4" x14ac:dyDescent="0.25">
      <c r="A170">
        <v>6</v>
      </c>
      <c r="B170">
        <v>66</v>
      </c>
      <c r="C170">
        <v>5.6</v>
      </c>
      <c r="D170">
        <v>2015</v>
      </c>
    </row>
    <row r="171" spans="1:4" x14ac:dyDescent="0.25">
      <c r="A171">
        <v>6</v>
      </c>
      <c r="B171">
        <v>67</v>
      </c>
      <c r="C171">
        <v>8.6</v>
      </c>
      <c r="D171">
        <v>2015</v>
      </c>
    </row>
    <row r="172" spans="1:4" x14ac:dyDescent="0.25">
      <c r="A172">
        <v>6</v>
      </c>
      <c r="B172">
        <v>68</v>
      </c>
      <c r="C172">
        <v>5.3</v>
      </c>
      <c r="D172">
        <v>2015</v>
      </c>
    </row>
    <row r="173" spans="1:4" x14ac:dyDescent="0.25">
      <c r="A173">
        <v>6</v>
      </c>
      <c r="B173">
        <v>69</v>
      </c>
      <c r="C173">
        <v>1.4</v>
      </c>
      <c r="D173">
        <v>2015</v>
      </c>
    </row>
    <row r="174" spans="1:4" x14ac:dyDescent="0.25">
      <c r="A174">
        <v>6</v>
      </c>
      <c r="B174">
        <v>70</v>
      </c>
      <c r="C174">
        <v>31.4</v>
      </c>
      <c r="D174">
        <v>2015</v>
      </c>
    </row>
    <row r="175" spans="1:4" x14ac:dyDescent="0.25">
      <c r="A175">
        <v>6</v>
      </c>
      <c r="B175">
        <v>71</v>
      </c>
      <c r="C175">
        <v>1.5</v>
      </c>
      <c r="D175">
        <v>2015</v>
      </c>
    </row>
    <row r="176" spans="1:4" x14ac:dyDescent="0.25">
      <c r="A176">
        <v>6</v>
      </c>
      <c r="B176">
        <v>72</v>
      </c>
      <c r="C176">
        <v>1.1000000000000001</v>
      </c>
      <c r="D176">
        <v>2015</v>
      </c>
    </row>
    <row r="177" spans="1:4" x14ac:dyDescent="0.25">
      <c r="A177">
        <v>6</v>
      </c>
      <c r="B177">
        <v>73</v>
      </c>
      <c r="C177">
        <v>25.5</v>
      </c>
      <c r="D177">
        <v>2015</v>
      </c>
    </row>
    <row r="178" spans="1:4" x14ac:dyDescent="0.25">
      <c r="A178">
        <v>7</v>
      </c>
      <c r="B178">
        <v>74</v>
      </c>
      <c r="C178">
        <v>25.7</v>
      </c>
      <c r="D178">
        <v>2015</v>
      </c>
    </row>
    <row r="179" spans="1:4" x14ac:dyDescent="0.25">
      <c r="A179">
        <v>7</v>
      </c>
      <c r="B179">
        <v>75</v>
      </c>
      <c r="C179">
        <v>16.7</v>
      </c>
      <c r="D179">
        <v>2015</v>
      </c>
    </row>
    <row r="180" spans="1:4" x14ac:dyDescent="0.25">
      <c r="A180">
        <v>7</v>
      </c>
      <c r="B180">
        <v>76</v>
      </c>
      <c r="C180">
        <v>5.7</v>
      </c>
      <c r="D180">
        <v>2015</v>
      </c>
    </row>
    <row r="181" spans="1:4" x14ac:dyDescent="0.25">
      <c r="A181">
        <v>7</v>
      </c>
      <c r="B181">
        <v>77</v>
      </c>
      <c r="C181">
        <v>2.2999999999999998</v>
      </c>
      <c r="D181">
        <v>2015</v>
      </c>
    </row>
    <row r="182" spans="1:4" x14ac:dyDescent="0.25">
      <c r="A182">
        <v>7</v>
      </c>
      <c r="B182">
        <v>78</v>
      </c>
      <c r="C182">
        <v>67.8</v>
      </c>
      <c r="D182">
        <v>2015</v>
      </c>
    </row>
    <row r="183" spans="1:4" x14ac:dyDescent="0.25">
      <c r="A183">
        <v>7</v>
      </c>
      <c r="B183">
        <v>79</v>
      </c>
      <c r="C183">
        <v>60</v>
      </c>
      <c r="D183">
        <v>2015</v>
      </c>
    </row>
    <row r="184" spans="1:4" x14ac:dyDescent="0.25">
      <c r="A184">
        <v>7</v>
      </c>
      <c r="B184">
        <v>80</v>
      </c>
      <c r="C184">
        <v>2.1</v>
      </c>
      <c r="D184">
        <v>2015</v>
      </c>
    </row>
    <row r="185" spans="1:4" x14ac:dyDescent="0.25">
      <c r="A185">
        <v>7</v>
      </c>
      <c r="B185">
        <v>81</v>
      </c>
      <c r="C185">
        <v>37.6</v>
      </c>
      <c r="D185">
        <v>2015</v>
      </c>
    </row>
    <row r="186" spans="1:4" x14ac:dyDescent="0.25">
      <c r="A186">
        <v>7</v>
      </c>
      <c r="B186">
        <v>82</v>
      </c>
      <c r="C186">
        <v>32.200000000000003</v>
      </c>
      <c r="D186">
        <v>2015</v>
      </c>
    </row>
    <row r="187" spans="1:4" x14ac:dyDescent="0.25">
      <c r="A187">
        <v>7</v>
      </c>
      <c r="B187">
        <v>83</v>
      </c>
      <c r="C187">
        <v>95.9</v>
      </c>
      <c r="D187">
        <v>2015</v>
      </c>
    </row>
    <row r="188" spans="1:4" x14ac:dyDescent="0.25">
      <c r="A188">
        <v>7</v>
      </c>
      <c r="B188">
        <v>84</v>
      </c>
      <c r="C188">
        <v>24.9</v>
      </c>
      <c r="D188">
        <v>2015</v>
      </c>
    </row>
    <row r="189" spans="1:4" x14ac:dyDescent="0.25">
      <c r="A189">
        <v>7</v>
      </c>
      <c r="B189">
        <v>85</v>
      </c>
      <c r="C189">
        <v>21.2</v>
      </c>
      <c r="D189">
        <v>2015</v>
      </c>
    </row>
    <row r="190" spans="1:4" x14ac:dyDescent="0.25">
      <c r="A190">
        <v>7</v>
      </c>
      <c r="B190">
        <v>86</v>
      </c>
      <c r="C190">
        <v>2.1</v>
      </c>
      <c r="D190">
        <v>2015</v>
      </c>
    </row>
    <row r="191" spans="1:4" x14ac:dyDescent="0.25">
      <c r="A191">
        <v>7</v>
      </c>
      <c r="B191">
        <v>87</v>
      </c>
      <c r="C191">
        <v>5.7</v>
      </c>
      <c r="D191">
        <v>2015</v>
      </c>
    </row>
    <row r="192" spans="1:4" x14ac:dyDescent="0.25">
      <c r="A192">
        <v>7</v>
      </c>
      <c r="B192">
        <v>88</v>
      </c>
      <c r="C192">
        <v>2.7</v>
      </c>
      <c r="D192">
        <v>2015</v>
      </c>
    </row>
    <row r="193" spans="1:4" x14ac:dyDescent="0.25">
      <c r="A193">
        <v>7</v>
      </c>
      <c r="B193">
        <v>89</v>
      </c>
      <c r="C193">
        <v>13.9</v>
      </c>
      <c r="D193">
        <v>2015</v>
      </c>
    </row>
    <row r="194" spans="1:4" x14ac:dyDescent="0.25">
      <c r="A194">
        <v>7</v>
      </c>
      <c r="B194">
        <v>90</v>
      </c>
      <c r="C194">
        <v>64</v>
      </c>
      <c r="D194">
        <v>2015</v>
      </c>
    </row>
    <row r="195" spans="1:4" x14ac:dyDescent="0.25">
      <c r="A195">
        <v>7</v>
      </c>
      <c r="B195">
        <v>91</v>
      </c>
      <c r="C195">
        <v>3.5</v>
      </c>
      <c r="D195">
        <v>2015</v>
      </c>
    </row>
    <row r="196" spans="1:4" x14ac:dyDescent="0.25">
      <c r="A196">
        <v>7</v>
      </c>
      <c r="B196">
        <v>92</v>
      </c>
      <c r="C196">
        <v>5.3</v>
      </c>
      <c r="D196">
        <v>2015</v>
      </c>
    </row>
    <row r="197" spans="1:4" x14ac:dyDescent="0.25">
      <c r="A197">
        <v>7</v>
      </c>
      <c r="B197">
        <v>93</v>
      </c>
      <c r="C197">
        <v>24.9</v>
      </c>
      <c r="D197">
        <v>2015</v>
      </c>
    </row>
    <row r="198" spans="1:4" x14ac:dyDescent="0.25">
      <c r="A198">
        <v>7</v>
      </c>
      <c r="B198">
        <v>94</v>
      </c>
      <c r="C198">
        <v>24.2</v>
      </c>
      <c r="D198">
        <v>2015</v>
      </c>
    </row>
    <row r="199" spans="1:4" x14ac:dyDescent="0.25">
      <c r="A199">
        <v>7</v>
      </c>
      <c r="B199">
        <v>95</v>
      </c>
      <c r="C199">
        <v>9.9</v>
      </c>
      <c r="D199">
        <v>2015</v>
      </c>
    </row>
    <row r="200" spans="1:4" x14ac:dyDescent="0.25">
      <c r="A200">
        <v>7</v>
      </c>
      <c r="B200">
        <v>96</v>
      </c>
      <c r="C200">
        <v>16.399999999999999</v>
      </c>
      <c r="D200">
        <v>2015</v>
      </c>
    </row>
    <row r="201" spans="1:4" x14ac:dyDescent="0.25">
      <c r="A201">
        <v>7</v>
      </c>
      <c r="B201">
        <v>97</v>
      </c>
      <c r="C201">
        <v>24.4</v>
      </c>
      <c r="D201">
        <v>2015</v>
      </c>
    </row>
    <row r="202" spans="1:4" x14ac:dyDescent="0.25">
      <c r="A202">
        <v>7</v>
      </c>
      <c r="B202">
        <v>98</v>
      </c>
      <c r="C202">
        <v>17.100000000000001</v>
      </c>
      <c r="D202">
        <v>2015</v>
      </c>
    </row>
    <row r="203" spans="1:4" x14ac:dyDescent="0.25">
      <c r="A203">
        <v>7</v>
      </c>
      <c r="B203">
        <v>99</v>
      </c>
      <c r="C203">
        <v>17.3</v>
      </c>
      <c r="D203">
        <v>2015</v>
      </c>
    </row>
    <row r="204" spans="1:4" x14ac:dyDescent="0.25">
      <c r="A204">
        <v>7</v>
      </c>
      <c r="B204">
        <v>100</v>
      </c>
      <c r="C204">
        <v>31.9</v>
      </c>
      <c r="D204">
        <v>2015</v>
      </c>
    </row>
    <row r="205" spans="1:4" x14ac:dyDescent="0.25">
      <c r="A205">
        <v>7</v>
      </c>
      <c r="B205">
        <v>101</v>
      </c>
      <c r="C205">
        <v>7.9</v>
      </c>
      <c r="D205">
        <v>2015</v>
      </c>
    </row>
    <row r="206" spans="1:4" x14ac:dyDescent="0.25">
      <c r="A206">
        <v>7</v>
      </c>
      <c r="B206">
        <v>102</v>
      </c>
      <c r="C206">
        <v>8.6999999999999993</v>
      </c>
      <c r="D206">
        <v>2015</v>
      </c>
    </row>
    <row r="207" spans="1:4" x14ac:dyDescent="0.25">
      <c r="A207">
        <v>8</v>
      </c>
      <c r="B207">
        <v>103</v>
      </c>
      <c r="C207">
        <v>7.9</v>
      </c>
      <c r="D207">
        <v>2015</v>
      </c>
    </row>
    <row r="208" spans="1:4" x14ac:dyDescent="0.25">
      <c r="A208">
        <v>8</v>
      </c>
      <c r="B208">
        <v>104</v>
      </c>
      <c r="C208">
        <v>30.2</v>
      </c>
      <c r="D208">
        <v>2015</v>
      </c>
    </row>
    <row r="209" spans="1:4" x14ac:dyDescent="0.25">
      <c r="A209">
        <v>8</v>
      </c>
      <c r="B209">
        <v>105</v>
      </c>
      <c r="C209">
        <v>6.5</v>
      </c>
      <c r="D209">
        <v>2015</v>
      </c>
    </row>
    <row r="210" spans="1:4" x14ac:dyDescent="0.25">
      <c r="A210">
        <v>8</v>
      </c>
      <c r="B210">
        <v>106</v>
      </c>
      <c r="C210">
        <v>14.7</v>
      </c>
      <c r="D210">
        <v>2015</v>
      </c>
    </row>
    <row r="211" spans="1:4" x14ac:dyDescent="0.25">
      <c r="A211">
        <v>8</v>
      </c>
      <c r="B211">
        <v>107</v>
      </c>
      <c r="C211">
        <v>8.3000000000000007</v>
      </c>
      <c r="D211">
        <v>2015</v>
      </c>
    </row>
    <row r="212" spans="1:4" x14ac:dyDescent="0.25">
      <c r="A212">
        <v>8</v>
      </c>
      <c r="B212">
        <v>108</v>
      </c>
      <c r="C212">
        <v>2</v>
      </c>
      <c r="D212">
        <v>2015</v>
      </c>
    </row>
    <row r="213" spans="1:4" x14ac:dyDescent="0.25">
      <c r="A213">
        <v>8</v>
      </c>
      <c r="B213">
        <v>109</v>
      </c>
      <c r="C213">
        <v>1.5</v>
      </c>
      <c r="D213">
        <v>2015</v>
      </c>
    </row>
    <row r="214" spans="1:4" x14ac:dyDescent="0.25">
      <c r="A214">
        <v>8</v>
      </c>
      <c r="B214">
        <v>110</v>
      </c>
      <c r="C214">
        <v>5.7</v>
      </c>
      <c r="D214">
        <v>2015</v>
      </c>
    </row>
    <row r="215" spans="1:4" x14ac:dyDescent="0.25">
      <c r="A215">
        <v>8</v>
      </c>
      <c r="B215">
        <v>111</v>
      </c>
      <c r="C215">
        <v>8.8000000000000007</v>
      </c>
      <c r="D215">
        <v>2015</v>
      </c>
    </row>
    <row r="216" spans="1:4" x14ac:dyDescent="0.25">
      <c r="A216">
        <v>8</v>
      </c>
      <c r="B216">
        <v>112</v>
      </c>
      <c r="C216">
        <v>1.6</v>
      </c>
      <c r="D216">
        <v>2015</v>
      </c>
    </row>
    <row r="217" spans="1:4" x14ac:dyDescent="0.25">
      <c r="A217">
        <v>8</v>
      </c>
      <c r="B217">
        <v>113</v>
      </c>
      <c r="C217">
        <v>1</v>
      </c>
      <c r="D217">
        <v>2015</v>
      </c>
    </row>
    <row r="218" spans="1:4" x14ac:dyDescent="0.25">
      <c r="A218">
        <v>8</v>
      </c>
      <c r="B218">
        <v>114</v>
      </c>
      <c r="C218">
        <v>40.200000000000003</v>
      </c>
      <c r="D218">
        <v>2015</v>
      </c>
    </row>
    <row r="219" spans="1:4" x14ac:dyDescent="0.25">
      <c r="A219">
        <v>8</v>
      </c>
      <c r="B219">
        <v>115</v>
      </c>
      <c r="C219">
        <v>92.1</v>
      </c>
      <c r="D219">
        <v>2015</v>
      </c>
    </row>
    <row r="220" spans="1:4" x14ac:dyDescent="0.25">
      <c r="A220">
        <v>8</v>
      </c>
      <c r="B220">
        <v>117</v>
      </c>
      <c r="C220">
        <v>23.9</v>
      </c>
      <c r="D220">
        <v>2015</v>
      </c>
    </row>
    <row r="221" spans="1:4" x14ac:dyDescent="0.25">
      <c r="A221">
        <v>8</v>
      </c>
      <c r="B221">
        <v>118</v>
      </c>
      <c r="C221">
        <v>50</v>
      </c>
      <c r="D221">
        <v>2015</v>
      </c>
    </row>
    <row r="222" spans="1:4" x14ac:dyDescent="0.25">
      <c r="A222">
        <v>8</v>
      </c>
      <c r="B222">
        <v>119</v>
      </c>
      <c r="C222">
        <v>25.2</v>
      </c>
      <c r="D222">
        <v>2015</v>
      </c>
    </row>
    <row r="223" spans="1:4" x14ac:dyDescent="0.25">
      <c r="A223">
        <v>8</v>
      </c>
      <c r="B223">
        <v>120</v>
      </c>
      <c r="C223">
        <v>5.0999999999999996</v>
      </c>
      <c r="D223">
        <v>2015</v>
      </c>
    </row>
    <row r="224" spans="1:4" x14ac:dyDescent="0.25">
      <c r="A224">
        <v>8</v>
      </c>
      <c r="B224">
        <v>121</v>
      </c>
      <c r="C224">
        <v>69.3</v>
      </c>
      <c r="D224">
        <v>2015</v>
      </c>
    </row>
    <row r="225" spans="1:4" x14ac:dyDescent="0.25">
      <c r="A225">
        <v>9</v>
      </c>
      <c r="B225">
        <v>122</v>
      </c>
      <c r="C225">
        <v>23.4</v>
      </c>
      <c r="D225">
        <v>2015</v>
      </c>
    </row>
    <row r="226" spans="1:4" x14ac:dyDescent="0.25">
      <c r="A226">
        <v>9</v>
      </c>
      <c r="B226">
        <v>123</v>
      </c>
      <c r="C226">
        <v>14.9</v>
      </c>
      <c r="D226">
        <v>2015</v>
      </c>
    </row>
    <row r="227" spans="1:4" x14ac:dyDescent="0.25">
      <c r="A227">
        <v>9</v>
      </c>
      <c r="B227">
        <v>124</v>
      </c>
      <c r="C227">
        <v>11.4</v>
      </c>
      <c r="D227">
        <v>2015</v>
      </c>
    </row>
    <row r="228" spans="1:4" x14ac:dyDescent="0.25">
      <c r="A228">
        <v>9</v>
      </c>
      <c r="B228">
        <v>125</v>
      </c>
      <c r="C228">
        <v>40.200000000000003</v>
      </c>
      <c r="D228">
        <v>2015</v>
      </c>
    </row>
    <row r="229" spans="1:4" x14ac:dyDescent="0.25">
      <c r="A229">
        <v>9</v>
      </c>
      <c r="B229">
        <v>126</v>
      </c>
      <c r="C229">
        <v>1.6</v>
      </c>
      <c r="D229">
        <v>2015</v>
      </c>
    </row>
    <row r="230" spans="1:4" x14ac:dyDescent="0.25">
      <c r="A230">
        <v>9</v>
      </c>
      <c r="B230">
        <v>127</v>
      </c>
      <c r="C230">
        <v>1</v>
      </c>
      <c r="D230">
        <v>2015</v>
      </c>
    </row>
    <row r="231" spans="1:4" x14ac:dyDescent="0.25">
      <c r="A231">
        <v>9</v>
      </c>
      <c r="B231">
        <v>128</v>
      </c>
      <c r="C231">
        <v>15.3</v>
      </c>
      <c r="D231">
        <v>2015</v>
      </c>
    </row>
    <row r="232" spans="1:4" x14ac:dyDescent="0.25">
      <c r="A232">
        <v>9</v>
      </c>
      <c r="B232">
        <v>129</v>
      </c>
      <c r="C232">
        <v>12.6</v>
      </c>
      <c r="D232">
        <v>2015</v>
      </c>
    </row>
    <row r="233" spans="1:4" x14ac:dyDescent="0.25">
      <c r="A233">
        <v>9</v>
      </c>
      <c r="B233">
        <v>130</v>
      </c>
      <c r="C233">
        <v>244</v>
      </c>
      <c r="D233">
        <v>2015</v>
      </c>
    </row>
    <row r="234" spans="1:4" x14ac:dyDescent="0.25">
      <c r="A234">
        <v>9</v>
      </c>
      <c r="B234">
        <v>131</v>
      </c>
      <c r="C234">
        <v>3.6</v>
      </c>
      <c r="D234">
        <v>2015</v>
      </c>
    </row>
    <row r="235" spans="1:4" x14ac:dyDescent="0.25">
      <c r="A235">
        <v>9</v>
      </c>
      <c r="B235">
        <v>132</v>
      </c>
      <c r="C235">
        <v>6.8</v>
      </c>
      <c r="D235">
        <v>2015</v>
      </c>
    </row>
    <row r="236" spans="1:4" x14ac:dyDescent="0.25">
      <c r="A236">
        <v>9</v>
      </c>
      <c r="B236">
        <v>133</v>
      </c>
      <c r="C236">
        <v>4</v>
      </c>
      <c r="D236">
        <v>2015</v>
      </c>
    </row>
    <row r="237" spans="1:4" x14ac:dyDescent="0.25">
      <c r="A237">
        <v>9</v>
      </c>
      <c r="B237">
        <v>134</v>
      </c>
      <c r="C237">
        <v>13</v>
      </c>
      <c r="D237">
        <v>2015</v>
      </c>
    </row>
    <row r="238" spans="1:4" x14ac:dyDescent="0.25">
      <c r="A238">
        <v>9</v>
      </c>
      <c r="B238">
        <v>135</v>
      </c>
      <c r="C238">
        <v>155</v>
      </c>
      <c r="D238">
        <v>2015</v>
      </c>
    </row>
    <row r="239" spans="1:4" x14ac:dyDescent="0.25">
      <c r="A239">
        <v>9</v>
      </c>
      <c r="B239">
        <v>136</v>
      </c>
      <c r="C239">
        <v>2.2999999999999998</v>
      </c>
      <c r="D239">
        <v>2015</v>
      </c>
    </row>
    <row r="240" spans="1:4" x14ac:dyDescent="0.25">
      <c r="A240">
        <v>9</v>
      </c>
      <c r="B240">
        <v>137</v>
      </c>
      <c r="C240">
        <v>15.7</v>
      </c>
      <c r="D240">
        <v>2015</v>
      </c>
    </row>
    <row r="241" spans="1:4" x14ac:dyDescent="0.25">
      <c r="A241">
        <v>9</v>
      </c>
      <c r="B241">
        <v>138</v>
      </c>
      <c r="C241">
        <v>5.0999999999999996</v>
      </c>
      <c r="D241">
        <v>2015</v>
      </c>
    </row>
    <row r="242" spans="1:4" x14ac:dyDescent="0.25">
      <c r="A242">
        <v>9</v>
      </c>
      <c r="B242">
        <v>139</v>
      </c>
      <c r="C242">
        <v>1</v>
      </c>
      <c r="D242">
        <v>2015</v>
      </c>
    </row>
    <row r="243" spans="1:4" x14ac:dyDescent="0.25">
      <c r="A243">
        <v>9</v>
      </c>
      <c r="B243">
        <v>140</v>
      </c>
      <c r="C243">
        <v>13.3</v>
      </c>
      <c r="D243">
        <v>2015</v>
      </c>
    </row>
    <row r="244" spans="1:4" x14ac:dyDescent="0.25">
      <c r="A244">
        <v>9</v>
      </c>
      <c r="B244">
        <v>141</v>
      </c>
      <c r="C244">
        <v>16</v>
      </c>
      <c r="D244">
        <v>2015</v>
      </c>
    </row>
    <row r="245" spans="1:4" x14ac:dyDescent="0.25">
      <c r="A245">
        <v>9</v>
      </c>
      <c r="B245">
        <v>142</v>
      </c>
      <c r="C245">
        <v>4.9000000000000004</v>
      </c>
      <c r="D245">
        <v>2015</v>
      </c>
    </row>
    <row r="246" spans="1:4" x14ac:dyDescent="0.25">
      <c r="A246">
        <v>9</v>
      </c>
      <c r="B246">
        <v>143</v>
      </c>
      <c r="C246">
        <v>8.3000000000000007</v>
      </c>
      <c r="D246">
        <v>2015</v>
      </c>
    </row>
    <row r="247" spans="1:4" x14ac:dyDescent="0.25">
      <c r="A247">
        <v>9</v>
      </c>
      <c r="B247">
        <v>144</v>
      </c>
      <c r="C247">
        <v>27.5</v>
      </c>
      <c r="D247">
        <v>2015</v>
      </c>
    </row>
    <row r="248" spans="1:4" x14ac:dyDescent="0.25">
      <c r="A248">
        <v>9</v>
      </c>
      <c r="B248">
        <v>145</v>
      </c>
      <c r="C248">
        <v>2</v>
      </c>
      <c r="D248">
        <v>2015</v>
      </c>
    </row>
    <row r="249" spans="1:4" x14ac:dyDescent="0.25">
      <c r="A249">
        <v>10</v>
      </c>
      <c r="B249">
        <v>146</v>
      </c>
      <c r="C249">
        <v>13.6</v>
      </c>
      <c r="D249">
        <v>2015</v>
      </c>
    </row>
    <row r="250" spans="1:4" x14ac:dyDescent="0.25">
      <c r="A250">
        <v>10</v>
      </c>
      <c r="B250">
        <v>147</v>
      </c>
      <c r="C250">
        <v>3.5</v>
      </c>
      <c r="D250">
        <v>2015</v>
      </c>
    </row>
    <row r="251" spans="1:4" x14ac:dyDescent="0.25">
      <c r="A251">
        <v>10</v>
      </c>
      <c r="B251">
        <v>148</v>
      </c>
      <c r="C251">
        <v>16.899999999999999</v>
      </c>
      <c r="D251">
        <v>2015</v>
      </c>
    </row>
    <row r="252" spans="1:4" x14ac:dyDescent="0.25">
      <c r="A252">
        <v>10</v>
      </c>
      <c r="B252">
        <v>149</v>
      </c>
      <c r="C252">
        <v>31.8</v>
      </c>
      <c r="D252">
        <v>2015</v>
      </c>
    </row>
    <row r="253" spans="1:4" x14ac:dyDescent="0.25">
      <c r="A253">
        <v>10</v>
      </c>
      <c r="B253">
        <v>150</v>
      </c>
      <c r="C253">
        <v>25.1</v>
      </c>
      <c r="D253">
        <v>2015</v>
      </c>
    </row>
    <row r="254" spans="1:4" x14ac:dyDescent="0.25">
      <c r="A254">
        <v>10</v>
      </c>
      <c r="B254">
        <v>151</v>
      </c>
      <c r="C254">
        <v>21.1</v>
      </c>
      <c r="D254">
        <v>2015</v>
      </c>
    </row>
    <row r="255" spans="1:4" x14ac:dyDescent="0.25">
      <c r="A255">
        <v>10</v>
      </c>
      <c r="B255">
        <v>152</v>
      </c>
      <c r="C255">
        <v>51</v>
      </c>
      <c r="D255">
        <v>2015</v>
      </c>
    </row>
    <row r="256" spans="1:4" x14ac:dyDescent="0.25">
      <c r="A256">
        <v>10</v>
      </c>
      <c r="B256">
        <v>153</v>
      </c>
      <c r="C256">
        <v>72.900000000000006</v>
      </c>
      <c r="D256">
        <v>2015</v>
      </c>
    </row>
    <row r="257" spans="1:4" x14ac:dyDescent="0.25">
      <c r="A257">
        <v>10</v>
      </c>
      <c r="B257">
        <v>154</v>
      </c>
      <c r="C257">
        <v>12.4</v>
      </c>
      <c r="D257">
        <v>2015</v>
      </c>
    </row>
    <row r="258" spans="1:4" x14ac:dyDescent="0.25">
      <c r="A258">
        <v>10</v>
      </c>
      <c r="B258">
        <v>155</v>
      </c>
      <c r="C258">
        <v>4</v>
      </c>
      <c r="D258">
        <v>2015</v>
      </c>
    </row>
    <row r="259" spans="1:4" x14ac:dyDescent="0.25">
      <c r="A259">
        <v>10</v>
      </c>
      <c r="B259">
        <v>156</v>
      </c>
      <c r="C259">
        <v>12.8</v>
      </c>
      <c r="D259">
        <v>2015</v>
      </c>
    </row>
    <row r="260" spans="1:4" x14ac:dyDescent="0.25">
      <c r="A260">
        <v>10</v>
      </c>
      <c r="B260">
        <v>157</v>
      </c>
      <c r="C260">
        <v>5.2</v>
      </c>
      <c r="D260">
        <v>2015</v>
      </c>
    </row>
    <row r="261" spans="1:4" x14ac:dyDescent="0.25">
      <c r="A261">
        <v>10</v>
      </c>
      <c r="B261">
        <v>158</v>
      </c>
      <c r="C261">
        <v>3.4</v>
      </c>
      <c r="D261">
        <v>2015</v>
      </c>
    </row>
    <row r="262" spans="1:4" x14ac:dyDescent="0.25">
      <c r="A262">
        <v>10</v>
      </c>
      <c r="B262">
        <v>159</v>
      </c>
      <c r="C262">
        <v>2.6</v>
      </c>
      <c r="D262">
        <v>2015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D0F29-EEE1-459C-94C9-9FC5111F5290}">
  <dimension ref="A1:H43"/>
  <sheetViews>
    <sheetView workbookViewId="0">
      <selection activeCell="A22" sqref="A22:A41"/>
    </sheetView>
  </sheetViews>
  <sheetFormatPr defaultRowHeight="15" x14ac:dyDescent="0.25"/>
  <cols>
    <col min="8" max="8" width="13.140625" bestFit="1" customWidth="1"/>
    <col min="9" max="9" width="11.7109375" bestFit="1" customWidth="1"/>
    <col min="10" max="10" width="12.85546875" bestFit="1" customWidth="1"/>
  </cols>
  <sheetData>
    <row r="1" spans="1:8" x14ac:dyDescent="0.25">
      <c r="A1" t="s">
        <v>4</v>
      </c>
      <c r="B1" s="3" t="s">
        <v>0</v>
      </c>
      <c r="C1" s="3" t="s">
        <v>11</v>
      </c>
      <c r="D1" s="3" t="s">
        <v>10</v>
      </c>
    </row>
    <row r="2" spans="1:8" x14ac:dyDescent="0.25">
      <c r="A2" s="7">
        <v>2015</v>
      </c>
      <c r="B2" s="6">
        <v>1</v>
      </c>
      <c r="C2" s="2">
        <v>293.3</v>
      </c>
      <c r="D2" s="2">
        <v>16</v>
      </c>
    </row>
    <row r="3" spans="1:8" x14ac:dyDescent="0.25">
      <c r="A3" s="7">
        <v>2015</v>
      </c>
      <c r="B3" s="6">
        <v>2</v>
      </c>
      <c r="C3" s="2">
        <v>103.3</v>
      </c>
      <c r="D3" s="2">
        <v>9</v>
      </c>
    </row>
    <row r="4" spans="1:8" x14ac:dyDescent="0.25">
      <c r="A4" s="7">
        <v>2015</v>
      </c>
      <c r="B4" s="6">
        <v>3</v>
      </c>
      <c r="C4" s="2">
        <v>593.99999999999989</v>
      </c>
      <c r="D4" s="2">
        <v>14</v>
      </c>
    </row>
    <row r="5" spans="1:8" x14ac:dyDescent="0.25">
      <c r="A5" s="7">
        <v>2015</v>
      </c>
      <c r="B5" s="6">
        <v>4</v>
      </c>
      <c r="C5" s="2">
        <v>206.2</v>
      </c>
      <c r="D5" s="2">
        <v>6</v>
      </c>
    </row>
    <row r="6" spans="1:8" x14ac:dyDescent="0.25">
      <c r="A6" s="7">
        <v>2015</v>
      </c>
      <c r="B6" s="6">
        <v>5</v>
      </c>
      <c r="C6" s="2">
        <v>95.100000000000009</v>
      </c>
      <c r="D6" s="2">
        <v>11</v>
      </c>
    </row>
    <row r="7" spans="1:8" x14ac:dyDescent="0.25">
      <c r="A7" s="7">
        <v>2015</v>
      </c>
      <c r="B7" s="6">
        <v>6</v>
      </c>
      <c r="C7" s="2">
        <v>192</v>
      </c>
      <c r="D7" s="2">
        <v>17</v>
      </c>
    </row>
    <row r="8" spans="1:8" x14ac:dyDescent="0.25">
      <c r="A8" s="7">
        <v>2015</v>
      </c>
      <c r="B8" s="6">
        <v>7</v>
      </c>
      <c r="C8" s="2">
        <v>671.99999999999989</v>
      </c>
      <c r="D8" s="2">
        <v>29</v>
      </c>
    </row>
    <row r="9" spans="1:8" x14ac:dyDescent="0.25">
      <c r="A9" s="7">
        <v>2015</v>
      </c>
      <c r="B9" s="6">
        <v>8</v>
      </c>
      <c r="C9" s="2">
        <v>394</v>
      </c>
      <c r="D9" s="2">
        <v>18</v>
      </c>
    </row>
    <row r="10" spans="1:8" x14ac:dyDescent="0.25">
      <c r="A10" s="7">
        <v>2015</v>
      </c>
      <c r="B10" s="6">
        <v>9</v>
      </c>
      <c r="C10" s="2">
        <v>642.89999999999986</v>
      </c>
      <c r="D10" s="2">
        <v>24</v>
      </c>
      <c r="F10" s="8"/>
      <c r="G10" s="8"/>
      <c r="H10" s="8"/>
    </row>
    <row r="11" spans="1:8" x14ac:dyDescent="0.25">
      <c r="A11" s="7">
        <v>2015</v>
      </c>
      <c r="B11" s="6">
        <v>10</v>
      </c>
      <c r="C11" s="2">
        <v>276.3</v>
      </c>
      <c r="D11" s="2">
        <v>14</v>
      </c>
      <c r="F11" s="8"/>
      <c r="G11" s="8"/>
      <c r="H11" s="8"/>
    </row>
    <row r="12" spans="1:8" x14ac:dyDescent="0.25">
      <c r="A12" s="7">
        <v>2022</v>
      </c>
      <c r="B12" s="6">
        <v>1</v>
      </c>
      <c r="C12" s="2">
        <v>112.20000000000002</v>
      </c>
      <c r="D12" s="2">
        <v>18</v>
      </c>
    </row>
    <row r="13" spans="1:8" x14ac:dyDescent="0.25">
      <c r="A13" s="7">
        <v>2022</v>
      </c>
      <c r="B13" s="6">
        <v>2</v>
      </c>
      <c r="C13" s="2">
        <v>129.5</v>
      </c>
      <c r="D13" s="2">
        <v>10</v>
      </c>
      <c r="F13">
        <f>STDEV(D2:D11)</f>
        <v>6.828046735503662</v>
      </c>
      <c r="G13">
        <f>STDEV(D12:D21)</f>
        <v>5.5186552307202108</v>
      </c>
    </row>
    <row r="14" spans="1:8" x14ac:dyDescent="0.25">
      <c r="A14" s="7">
        <v>2022</v>
      </c>
      <c r="B14" s="6">
        <v>3</v>
      </c>
      <c r="C14" s="2">
        <v>206.4</v>
      </c>
      <c r="D14" s="2">
        <v>4</v>
      </c>
      <c r="F14">
        <f>STDEV(C2:C11)</f>
        <v>218.82891567005794</v>
      </c>
      <c r="G14">
        <f>STDEV(C12:C21)</f>
        <v>92.54919472607223</v>
      </c>
    </row>
    <row r="15" spans="1:8" x14ac:dyDescent="0.25">
      <c r="A15" s="7">
        <v>2022</v>
      </c>
      <c r="B15" s="6">
        <v>4</v>
      </c>
      <c r="C15" s="2">
        <v>43</v>
      </c>
      <c r="D15" s="2">
        <v>7</v>
      </c>
    </row>
    <row r="16" spans="1:8" x14ac:dyDescent="0.25">
      <c r="A16" s="7">
        <v>2022</v>
      </c>
      <c r="B16" s="6">
        <v>5</v>
      </c>
      <c r="C16" s="2">
        <v>49.4</v>
      </c>
      <c r="D16" s="2">
        <v>4</v>
      </c>
    </row>
    <row r="17" spans="1:4" x14ac:dyDescent="0.25">
      <c r="A17" s="7">
        <v>2022</v>
      </c>
      <c r="B17" s="6">
        <v>6</v>
      </c>
      <c r="C17" s="2">
        <v>200.3</v>
      </c>
      <c r="D17" s="2">
        <v>14</v>
      </c>
    </row>
    <row r="18" spans="1:4" x14ac:dyDescent="0.25">
      <c r="A18" s="7">
        <v>2022</v>
      </c>
      <c r="B18" s="6">
        <v>7</v>
      </c>
      <c r="C18" s="2">
        <v>309.19999999999993</v>
      </c>
      <c r="D18" s="2">
        <v>18</v>
      </c>
    </row>
    <row r="19" spans="1:4" x14ac:dyDescent="0.25">
      <c r="A19" s="7">
        <v>2022</v>
      </c>
      <c r="B19" s="6">
        <v>8</v>
      </c>
      <c r="C19" s="2">
        <v>36.200000000000003</v>
      </c>
      <c r="D19" s="2">
        <v>7</v>
      </c>
    </row>
    <row r="20" spans="1:4" x14ac:dyDescent="0.25">
      <c r="A20" s="7">
        <v>2022</v>
      </c>
      <c r="B20" s="6">
        <v>9</v>
      </c>
      <c r="C20" s="2">
        <v>25.7</v>
      </c>
      <c r="D20" s="2">
        <v>6</v>
      </c>
    </row>
    <row r="21" spans="1:4" x14ac:dyDescent="0.25">
      <c r="A21" s="7">
        <v>2022</v>
      </c>
      <c r="B21" s="6">
        <v>10</v>
      </c>
      <c r="C21" s="2">
        <v>147.39999999999998</v>
      </c>
      <c r="D21" s="2">
        <v>15</v>
      </c>
    </row>
    <row r="22" spans="1:4" ht="15.75" x14ac:dyDescent="0.25">
      <c r="C22" s="14"/>
      <c r="D22" s="14"/>
    </row>
    <row r="23" spans="1:4" ht="15.75" x14ac:dyDescent="0.25">
      <c r="C23" s="14"/>
      <c r="D23" s="14"/>
    </row>
    <row r="24" spans="1:4" ht="15.75" x14ac:dyDescent="0.25">
      <c r="C24" s="14"/>
      <c r="D24" s="14"/>
    </row>
    <row r="25" spans="1:4" ht="15.75" x14ac:dyDescent="0.25">
      <c r="C25" s="14"/>
      <c r="D25" s="14"/>
    </row>
    <row r="26" spans="1:4" ht="15.75" x14ac:dyDescent="0.25">
      <c r="C26" s="14"/>
      <c r="D26" s="14"/>
    </row>
    <row r="27" spans="1:4" ht="15.75" x14ac:dyDescent="0.25">
      <c r="C27" s="14"/>
      <c r="D27" s="14"/>
    </row>
    <row r="28" spans="1:4" ht="15.75" x14ac:dyDescent="0.25">
      <c r="C28" s="14"/>
      <c r="D28" s="14"/>
    </row>
    <row r="29" spans="1:4" ht="15.75" x14ac:dyDescent="0.25">
      <c r="C29" s="14"/>
      <c r="D29" s="14"/>
    </row>
    <row r="30" spans="1:4" ht="15.75" x14ac:dyDescent="0.25">
      <c r="C30" s="14"/>
      <c r="D30" s="14"/>
    </row>
    <row r="31" spans="1:4" ht="15.75" x14ac:dyDescent="0.25">
      <c r="C31" s="14"/>
      <c r="D31" s="14"/>
    </row>
    <row r="32" spans="1:4" ht="15.75" x14ac:dyDescent="0.25">
      <c r="C32" s="14"/>
      <c r="D32" s="14"/>
    </row>
    <row r="33" spans="3:4" ht="15.75" x14ac:dyDescent="0.25">
      <c r="C33" s="14"/>
      <c r="D33" s="14"/>
    </row>
    <row r="34" spans="3:4" ht="15.75" x14ac:dyDescent="0.25">
      <c r="C34" s="14"/>
      <c r="D34" s="14"/>
    </row>
    <row r="35" spans="3:4" ht="15.75" x14ac:dyDescent="0.25">
      <c r="C35" s="14"/>
      <c r="D35" s="14"/>
    </row>
    <row r="36" spans="3:4" ht="15.75" x14ac:dyDescent="0.25">
      <c r="C36" s="14"/>
      <c r="D36" s="14"/>
    </row>
    <row r="37" spans="3:4" ht="15.75" x14ac:dyDescent="0.25">
      <c r="C37" s="14"/>
      <c r="D37" s="14"/>
    </row>
    <row r="38" spans="3:4" ht="15.75" x14ac:dyDescent="0.25">
      <c r="C38" s="14"/>
      <c r="D38" s="14"/>
    </row>
    <row r="39" spans="3:4" ht="15.75" x14ac:dyDescent="0.25">
      <c r="C39" s="14"/>
      <c r="D39" s="14"/>
    </row>
    <row r="40" spans="3:4" ht="15.75" x14ac:dyDescent="0.25">
      <c r="C40" s="14"/>
      <c r="D40" s="14"/>
    </row>
    <row r="41" spans="3:4" ht="15.75" x14ac:dyDescent="0.25">
      <c r="C41" s="14"/>
      <c r="D41" s="14"/>
    </row>
    <row r="42" spans="3:4" ht="15.75" x14ac:dyDescent="0.25">
      <c r="C42" s="10"/>
      <c r="D42" s="10"/>
    </row>
    <row r="43" spans="3:4" ht="15.75" x14ac:dyDescent="0.25">
      <c r="C43" s="10"/>
      <c r="D43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667B-95BF-43F5-BC9D-2160DCD89C78}">
  <dimension ref="A1:F329"/>
  <sheetViews>
    <sheetView topLeftCell="A88" workbookViewId="0">
      <selection activeCell="A288" sqref="A288"/>
    </sheetView>
  </sheetViews>
  <sheetFormatPr defaultRowHeight="15" x14ac:dyDescent="0.25"/>
  <cols>
    <col min="5" max="5" width="10.7109375" bestFit="1" customWidth="1"/>
    <col min="6" max="6" width="12.28515625" bestFit="1" customWidth="1"/>
  </cols>
  <sheetData>
    <row r="1" spans="1:6" x14ac:dyDescent="0.25">
      <c r="A1" s="1" t="s">
        <v>3</v>
      </c>
      <c r="B1" s="1" t="s">
        <v>1</v>
      </c>
      <c r="C1" s="1" t="s">
        <v>2</v>
      </c>
      <c r="D1" s="1" t="s">
        <v>4</v>
      </c>
      <c r="E1" s="1" t="s">
        <v>12</v>
      </c>
      <c r="F1" s="1" t="s">
        <v>13</v>
      </c>
    </row>
    <row r="2" spans="1:6" x14ac:dyDescent="0.25">
      <c r="A2">
        <v>91.289999999999992</v>
      </c>
      <c r="B2">
        <v>1</v>
      </c>
      <c r="C2">
        <v>4.2</v>
      </c>
      <c r="D2">
        <v>2015</v>
      </c>
      <c r="E2" s="9">
        <v>42202</v>
      </c>
      <c r="F2" t="s">
        <v>14</v>
      </c>
    </row>
    <row r="3" spans="1:6" x14ac:dyDescent="0.25">
      <c r="A3">
        <v>91.289999999999992</v>
      </c>
      <c r="B3">
        <v>2</v>
      </c>
      <c r="C3">
        <v>19.3</v>
      </c>
      <c r="D3">
        <v>2015</v>
      </c>
      <c r="E3" s="9">
        <v>42202</v>
      </c>
      <c r="F3" t="s">
        <v>14</v>
      </c>
    </row>
    <row r="4" spans="1:6" x14ac:dyDescent="0.25">
      <c r="A4">
        <v>91.289999999999992</v>
      </c>
      <c r="B4">
        <v>3</v>
      </c>
      <c r="C4">
        <v>19.8</v>
      </c>
      <c r="D4">
        <v>2015</v>
      </c>
      <c r="E4" s="9">
        <v>42202</v>
      </c>
      <c r="F4" t="s">
        <v>14</v>
      </c>
    </row>
    <row r="5" spans="1:6" x14ac:dyDescent="0.25">
      <c r="A5">
        <v>91.289999999999992</v>
      </c>
      <c r="B5">
        <v>4</v>
      </c>
      <c r="C5">
        <v>27.3</v>
      </c>
      <c r="D5">
        <v>2015</v>
      </c>
      <c r="E5" s="9">
        <v>42202</v>
      </c>
      <c r="F5" t="s">
        <v>14</v>
      </c>
    </row>
    <row r="6" spans="1:6" x14ac:dyDescent="0.25">
      <c r="A6">
        <v>91.289999999999992</v>
      </c>
      <c r="B6">
        <v>5</v>
      </c>
      <c r="C6">
        <v>11.7</v>
      </c>
      <c r="D6">
        <v>2015</v>
      </c>
      <c r="E6" s="9">
        <v>42202</v>
      </c>
      <c r="F6" t="s">
        <v>14</v>
      </c>
    </row>
    <row r="7" spans="1:6" x14ac:dyDescent="0.25">
      <c r="A7">
        <v>91.289999999999992</v>
      </c>
      <c r="B7">
        <v>6</v>
      </c>
      <c r="C7">
        <v>1</v>
      </c>
      <c r="D7">
        <v>2015</v>
      </c>
      <c r="E7" s="9">
        <v>42202</v>
      </c>
      <c r="F7" t="s">
        <v>14</v>
      </c>
    </row>
    <row r="8" spans="1:6" x14ac:dyDescent="0.25">
      <c r="A8">
        <v>91.289999999999992</v>
      </c>
      <c r="B8">
        <v>7</v>
      </c>
      <c r="C8">
        <v>1.5</v>
      </c>
      <c r="D8">
        <v>2015</v>
      </c>
      <c r="E8" s="9">
        <v>42202</v>
      </c>
      <c r="F8" t="s">
        <v>14</v>
      </c>
    </row>
    <row r="9" spans="1:6" x14ac:dyDescent="0.25">
      <c r="A9">
        <v>91.289999999999992</v>
      </c>
      <c r="B9">
        <v>8</v>
      </c>
      <c r="C9">
        <v>32.1</v>
      </c>
      <c r="D9">
        <v>2015</v>
      </c>
      <c r="E9" s="9">
        <v>42202</v>
      </c>
      <c r="F9" t="s">
        <v>14</v>
      </c>
    </row>
    <row r="10" spans="1:6" x14ac:dyDescent="0.25">
      <c r="A10">
        <v>91.289999999999992</v>
      </c>
      <c r="B10">
        <v>9</v>
      </c>
      <c r="C10">
        <v>89.3</v>
      </c>
      <c r="D10">
        <v>2015</v>
      </c>
      <c r="E10" s="9">
        <v>42202</v>
      </c>
      <c r="F10" t="s">
        <v>14</v>
      </c>
    </row>
    <row r="11" spans="1:6" x14ac:dyDescent="0.25">
      <c r="A11">
        <v>91.289999999999992</v>
      </c>
      <c r="B11">
        <v>10</v>
      </c>
      <c r="C11">
        <v>29.2</v>
      </c>
      <c r="D11">
        <v>2015</v>
      </c>
      <c r="E11" s="9">
        <v>42202</v>
      </c>
      <c r="F11" t="s">
        <v>14</v>
      </c>
    </row>
    <row r="12" spans="1:6" x14ac:dyDescent="0.25">
      <c r="A12">
        <v>91.289999999999992</v>
      </c>
      <c r="B12">
        <v>11</v>
      </c>
      <c r="C12">
        <v>23.9</v>
      </c>
      <c r="D12">
        <v>2015</v>
      </c>
      <c r="E12" s="9">
        <v>42202</v>
      </c>
      <c r="F12" t="s">
        <v>14</v>
      </c>
    </row>
    <row r="13" spans="1:6" x14ac:dyDescent="0.25">
      <c r="A13">
        <v>91.289999999999992</v>
      </c>
      <c r="B13">
        <v>12</v>
      </c>
      <c r="C13">
        <v>19.399999999999999</v>
      </c>
      <c r="D13">
        <v>2015</v>
      </c>
      <c r="E13" s="9">
        <v>42202</v>
      </c>
      <c r="F13" t="s">
        <v>14</v>
      </c>
    </row>
    <row r="14" spans="1:6" x14ac:dyDescent="0.25">
      <c r="A14">
        <v>91.289999999999992</v>
      </c>
      <c r="B14">
        <v>13</v>
      </c>
      <c r="C14">
        <v>1.4</v>
      </c>
      <c r="D14">
        <v>2015</v>
      </c>
      <c r="E14" s="9">
        <v>42202</v>
      </c>
      <c r="F14" t="s">
        <v>14</v>
      </c>
    </row>
    <row r="15" spans="1:6" x14ac:dyDescent="0.25">
      <c r="A15">
        <v>91.289999999999992</v>
      </c>
      <c r="B15">
        <v>14</v>
      </c>
      <c r="C15">
        <v>1.4</v>
      </c>
      <c r="D15">
        <v>2015</v>
      </c>
      <c r="E15" s="9">
        <v>42202</v>
      </c>
      <c r="F15" t="s">
        <v>14</v>
      </c>
    </row>
    <row r="16" spans="1:6" x14ac:dyDescent="0.25">
      <c r="A16">
        <v>91.289999999999992</v>
      </c>
      <c r="B16">
        <v>15</v>
      </c>
      <c r="C16">
        <v>9.6</v>
      </c>
      <c r="D16">
        <v>2015</v>
      </c>
      <c r="E16" s="9">
        <v>42202</v>
      </c>
      <c r="F16" t="s">
        <v>14</v>
      </c>
    </row>
    <row r="17" spans="1:6" x14ac:dyDescent="0.25">
      <c r="A17">
        <v>91.289999999999992</v>
      </c>
      <c r="B17">
        <v>16</v>
      </c>
      <c r="C17">
        <v>36.799999999999997</v>
      </c>
      <c r="D17">
        <v>2015</v>
      </c>
      <c r="E17" s="9">
        <v>42202</v>
      </c>
      <c r="F17" t="s">
        <v>14</v>
      </c>
    </row>
    <row r="18" spans="1:6" x14ac:dyDescent="0.25">
      <c r="A18">
        <v>91.289999999999992</v>
      </c>
      <c r="B18">
        <v>17</v>
      </c>
      <c r="C18">
        <v>10.4</v>
      </c>
      <c r="D18">
        <v>2015</v>
      </c>
      <c r="E18" s="9">
        <v>42202</v>
      </c>
      <c r="F18" t="s">
        <v>14</v>
      </c>
    </row>
    <row r="19" spans="1:6" x14ac:dyDescent="0.25">
      <c r="A19">
        <v>91.289999999999992</v>
      </c>
      <c r="B19">
        <v>18</v>
      </c>
      <c r="C19">
        <v>2.8</v>
      </c>
      <c r="D19">
        <v>2015</v>
      </c>
      <c r="E19" s="9">
        <v>42202</v>
      </c>
      <c r="F19" t="s">
        <v>14</v>
      </c>
    </row>
    <row r="20" spans="1:6" x14ac:dyDescent="0.25">
      <c r="A20">
        <v>91.289999999999992</v>
      </c>
      <c r="B20">
        <v>19</v>
      </c>
      <c r="C20">
        <v>9.1999999999999993</v>
      </c>
      <c r="D20">
        <v>2015</v>
      </c>
      <c r="E20" s="9">
        <v>42202</v>
      </c>
      <c r="F20" t="s">
        <v>14</v>
      </c>
    </row>
    <row r="21" spans="1:6" x14ac:dyDescent="0.25">
      <c r="A21">
        <v>91.289999999999992</v>
      </c>
      <c r="B21">
        <v>20</v>
      </c>
      <c r="C21">
        <v>2.5</v>
      </c>
      <c r="D21">
        <v>2015</v>
      </c>
      <c r="E21" s="9">
        <v>42202</v>
      </c>
      <c r="F21" t="s">
        <v>14</v>
      </c>
    </row>
    <row r="22" spans="1:6" x14ac:dyDescent="0.25">
      <c r="A22">
        <v>91.289999999999992</v>
      </c>
      <c r="B22">
        <v>21</v>
      </c>
      <c r="C22">
        <v>3.8</v>
      </c>
      <c r="D22">
        <v>2015</v>
      </c>
      <c r="E22" s="9">
        <v>42202</v>
      </c>
      <c r="F22" t="s">
        <v>14</v>
      </c>
    </row>
    <row r="23" spans="1:6" x14ac:dyDescent="0.25">
      <c r="A23">
        <v>91.289999999999992</v>
      </c>
      <c r="B23">
        <v>22</v>
      </c>
      <c r="C23">
        <v>22.1</v>
      </c>
      <c r="D23">
        <v>2015</v>
      </c>
      <c r="E23" s="9">
        <v>42202</v>
      </c>
      <c r="F23" t="s">
        <v>14</v>
      </c>
    </row>
    <row r="24" spans="1:6" x14ac:dyDescent="0.25">
      <c r="A24">
        <v>91.289999999999992</v>
      </c>
      <c r="B24">
        <v>1</v>
      </c>
      <c r="C24">
        <v>2.2000000000000002</v>
      </c>
      <c r="D24">
        <v>2022</v>
      </c>
      <c r="E24" s="9">
        <v>44814</v>
      </c>
      <c r="F24" t="s">
        <v>14</v>
      </c>
    </row>
    <row r="25" spans="1:6" x14ac:dyDescent="0.25">
      <c r="A25">
        <v>91.289999999999992</v>
      </c>
      <c r="B25">
        <v>2</v>
      </c>
      <c r="C25">
        <v>4.2</v>
      </c>
      <c r="D25">
        <v>2022</v>
      </c>
      <c r="E25" s="9">
        <v>44814</v>
      </c>
      <c r="F25" t="s">
        <v>14</v>
      </c>
    </row>
    <row r="26" spans="1:6" x14ac:dyDescent="0.25">
      <c r="A26">
        <v>91.289999999999992</v>
      </c>
      <c r="B26">
        <v>3</v>
      </c>
      <c r="C26">
        <v>2.7</v>
      </c>
      <c r="D26">
        <v>2022</v>
      </c>
      <c r="E26" s="9">
        <v>44814</v>
      </c>
      <c r="F26" t="s">
        <v>14</v>
      </c>
    </row>
    <row r="27" spans="1:6" x14ac:dyDescent="0.25">
      <c r="A27">
        <v>91.289999999999992</v>
      </c>
      <c r="B27">
        <v>4</v>
      </c>
      <c r="C27">
        <v>0.8</v>
      </c>
      <c r="D27">
        <v>2022</v>
      </c>
      <c r="E27" s="9">
        <v>44814</v>
      </c>
      <c r="F27" t="s">
        <v>14</v>
      </c>
    </row>
    <row r="28" spans="1:6" x14ac:dyDescent="0.25">
      <c r="A28">
        <v>91.289999999999992</v>
      </c>
      <c r="B28">
        <v>5</v>
      </c>
      <c r="C28">
        <v>22</v>
      </c>
      <c r="D28">
        <v>2022</v>
      </c>
      <c r="E28" s="9">
        <v>44814</v>
      </c>
      <c r="F28" t="s">
        <v>14</v>
      </c>
    </row>
    <row r="29" spans="1:6" x14ac:dyDescent="0.25">
      <c r="A29">
        <v>91.289999999999992</v>
      </c>
      <c r="B29">
        <v>6</v>
      </c>
      <c r="C29">
        <v>2.6</v>
      </c>
      <c r="D29">
        <v>2022</v>
      </c>
      <c r="E29" s="9">
        <v>44814</v>
      </c>
      <c r="F29" t="s">
        <v>14</v>
      </c>
    </row>
    <row r="30" spans="1:6" x14ac:dyDescent="0.25">
      <c r="A30">
        <v>91.289999999999992</v>
      </c>
      <c r="B30">
        <v>7</v>
      </c>
      <c r="C30">
        <v>1.6</v>
      </c>
      <c r="D30">
        <v>2022</v>
      </c>
      <c r="E30" s="9">
        <v>44814</v>
      </c>
      <c r="F30" t="s">
        <v>14</v>
      </c>
    </row>
    <row r="31" spans="1:6" x14ac:dyDescent="0.25">
      <c r="A31">
        <v>91.289999999999992</v>
      </c>
      <c r="B31">
        <v>8</v>
      </c>
      <c r="C31">
        <v>2.2999999999999998</v>
      </c>
      <c r="D31">
        <v>2022</v>
      </c>
      <c r="E31" s="9">
        <v>44814</v>
      </c>
      <c r="F31" t="s">
        <v>14</v>
      </c>
    </row>
    <row r="32" spans="1:6" x14ac:dyDescent="0.25">
      <c r="A32">
        <v>91.289999999999992</v>
      </c>
      <c r="B32">
        <v>9</v>
      </c>
      <c r="C32">
        <v>0.7</v>
      </c>
      <c r="D32">
        <v>2022</v>
      </c>
      <c r="E32" s="9">
        <v>44814</v>
      </c>
      <c r="F32" t="s">
        <v>14</v>
      </c>
    </row>
    <row r="33" spans="1:6" x14ac:dyDescent="0.25">
      <c r="A33">
        <v>91.289999999999992</v>
      </c>
      <c r="B33">
        <v>10</v>
      </c>
      <c r="C33">
        <v>1.3</v>
      </c>
      <c r="D33">
        <v>2022</v>
      </c>
      <c r="E33" s="9">
        <v>44814</v>
      </c>
      <c r="F33" t="s">
        <v>14</v>
      </c>
    </row>
    <row r="34" spans="1:6" x14ac:dyDescent="0.25">
      <c r="A34">
        <v>91.289999999999992</v>
      </c>
      <c r="B34">
        <v>11</v>
      </c>
      <c r="C34">
        <v>4.0999999999999996</v>
      </c>
      <c r="D34">
        <v>2022</v>
      </c>
      <c r="E34" s="9">
        <v>44814</v>
      </c>
      <c r="F34" t="s">
        <v>14</v>
      </c>
    </row>
    <row r="35" spans="1:6" x14ac:dyDescent="0.25">
      <c r="A35">
        <v>91.289999999999992</v>
      </c>
      <c r="B35">
        <v>12</v>
      </c>
      <c r="C35">
        <v>22.8</v>
      </c>
      <c r="D35">
        <v>2022</v>
      </c>
      <c r="E35" s="9">
        <v>44814</v>
      </c>
      <c r="F35" t="s">
        <v>14</v>
      </c>
    </row>
    <row r="36" spans="1:6" x14ac:dyDescent="0.25">
      <c r="A36">
        <v>91.289999999999992</v>
      </c>
      <c r="B36">
        <v>13</v>
      </c>
      <c r="C36">
        <v>3.8</v>
      </c>
      <c r="D36">
        <v>2022</v>
      </c>
      <c r="E36" s="9">
        <v>44814</v>
      </c>
      <c r="F36" t="s">
        <v>14</v>
      </c>
    </row>
    <row r="37" spans="1:6" x14ac:dyDescent="0.25">
      <c r="A37">
        <v>91.289999999999992</v>
      </c>
      <c r="B37">
        <v>14</v>
      </c>
      <c r="C37">
        <v>8.9</v>
      </c>
      <c r="D37">
        <v>2022</v>
      </c>
      <c r="E37" s="9">
        <v>44814</v>
      </c>
      <c r="F37" t="s">
        <v>14</v>
      </c>
    </row>
    <row r="38" spans="1:6" x14ac:dyDescent="0.25">
      <c r="A38">
        <v>86.34</v>
      </c>
      <c r="B38">
        <v>23</v>
      </c>
      <c r="C38">
        <v>7.9</v>
      </c>
      <c r="D38">
        <v>2015</v>
      </c>
      <c r="E38" s="9">
        <v>42202</v>
      </c>
      <c r="F38" t="s">
        <v>14</v>
      </c>
    </row>
    <row r="39" spans="1:6" x14ac:dyDescent="0.25">
      <c r="A39">
        <v>86.34</v>
      </c>
      <c r="B39">
        <v>24</v>
      </c>
      <c r="C39">
        <v>5.2</v>
      </c>
      <c r="D39">
        <v>2015</v>
      </c>
      <c r="E39" s="9">
        <v>42202</v>
      </c>
      <c r="F39" t="s">
        <v>14</v>
      </c>
    </row>
    <row r="40" spans="1:6" x14ac:dyDescent="0.25">
      <c r="A40">
        <v>86.34</v>
      </c>
      <c r="B40">
        <v>25</v>
      </c>
      <c r="C40">
        <v>25.5</v>
      </c>
      <c r="D40">
        <v>2015</v>
      </c>
      <c r="E40" s="9">
        <v>42202</v>
      </c>
      <c r="F40" t="s">
        <v>14</v>
      </c>
    </row>
    <row r="41" spans="1:6" x14ac:dyDescent="0.25">
      <c r="A41">
        <v>86.34</v>
      </c>
      <c r="B41">
        <v>26</v>
      </c>
      <c r="C41">
        <v>3</v>
      </c>
      <c r="D41">
        <v>2015</v>
      </c>
      <c r="E41" s="9">
        <v>42202</v>
      </c>
      <c r="F41" t="s">
        <v>14</v>
      </c>
    </row>
    <row r="42" spans="1:6" x14ac:dyDescent="0.25">
      <c r="A42">
        <v>86.34</v>
      </c>
      <c r="B42">
        <v>27</v>
      </c>
      <c r="C42">
        <v>10.4</v>
      </c>
      <c r="D42">
        <v>2015</v>
      </c>
      <c r="E42" s="9">
        <v>42202</v>
      </c>
      <c r="F42" t="s">
        <v>14</v>
      </c>
    </row>
    <row r="43" spans="1:6" x14ac:dyDescent="0.25">
      <c r="A43">
        <v>86.34</v>
      </c>
      <c r="B43">
        <v>28</v>
      </c>
      <c r="C43">
        <v>3.8</v>
      </c>
      <c r="D43">
        <v>2015</v>
      </c>
      <c r="E43" s="9">
        <v>42202</v>
      </c>
      <c r="F43" t="s">
        <v>14</v>
      </c>
    </row>
    <row r="44" spans="1:6" x14ac:dyDescent="0.25">
      <c r="A44">
        <v>86.34</v>
      </c>
      <c r="B44">
        <v>29</v>
      </c>
      <c r="C44">
        <v>19.899999999999999</v>
      </c>
      <c r="D44">
        <v>2015</v>
      </c>
      <c r="E44" s="9">
        <v>42202</v>
      </c>
      <c r="F44" t="s">
        <v>14</v>
      </c>
    </row>
    <row r="45" spans="1:6" x14ac:dyDescent="0.25">
      <c r="A45">
        <v>86.34</v>
      </c>
      <c r="B45">
        <v>30</v>
      </c>
      <c r="C45">
        <v>11.8</v>
      </c>
      <c r="D45">
        <v>2015</v>
      </c>
      <c r="E45" s="9">
        <v>42202</v>
      </c>
      <c r="F45" t="s">
        <v>14</v>
      </c>
    </row>
    <row r="46" spans="1:6" x14ac:dyDescent="0.25">
      <c r="A46">
        <v>86.34</v>
      </c>
      <c r="B46">
        <v>31</v>
      </c>
      <c r="C46">
        <v>3.3</v>
      </c>
      <c r="D46">
        <v>2015</v>
      </c>
      <c r="E46" s="9">
        <v>42202</v>
      </c>
      <c r="F46" t="s">
        <v>14</v>
      </c>
    </row>
    <row r="47" spans="1:6" x14ac:dyDescent="0.25">
      <c r="A47">
        <v>86.34</v>
      </c>
      <c r="B47">
        <v>32</v>
      </c>
      <c r="C47">
        <v>6.4</v>
      </c>
      <c r="D47">
        <v>2015</v>
      </c>
      <c r="E47" s="9">
        <v>42202</v>
      </c>
      <c r="F47" t="s">
        <v>14</v>
      </c>
    </row>
    <row r="48" spans="1:6" x14ac:dyDescent="0.25">
      <c r="A48">
        <v>86.34</v>
      </c>
      <c r="B48">
        <v>33</v>
      </c>
      <c r="C48">
        <v>1.5</v>
      </c>
      <c r="D48">
        <v>2015</v>
      </c>
      <c r="E48" s="9">
        <v>42202</v>
      </c>
      <c r="F48" t="s">
        <v>14</v>
      </c>
    </row>
    <row r="49" spans="1:6" x14ac:dyDescent="0.25">
      <c r="A49">
        <v>86.34</v>
      </c>
      <c r="B49">
        <v>15</v>
      </c>
      <c r="C49">
        <v>3.5</v>
      </c>
      <c r="D49">
        <v>2022</v>
      </c>
      <c r="E49" s="9">
        <v>44814</v>
      </c>
      <c r="F49" t="s">
        <v>14</v>
      </c>
    </row>
    <row r="50" spans="1:6" x14ac:dyDescent="0.25">
      <c r="A50">
        <v>86.34</v>
      </c>
      <c r="B50">
        <v>16</v>
      </c>
      <c r="C50">
        <v>4.0999999999999996</v>
      </c>
      <c r="D50">
        <v>2022</v>
      </c>
      <c r="E50" s="9">
        <v>44814</v>
      </c>
      <c r="F50" t="s">
        <v>14</v>
      </c>
    </row>
    <row r="51" spans="1:6" x14ac:dyDescent="0.25">
      <c r="A51">
        <v>86.34</v>
      </c>
      <c r="B51">
        <v>17</v>
      </c>
      <c r="C51">
        <v>4.0999999999999996</v>
      </c>
      <c r="D51">
        <v>2022</v>
      </c>
      <c r="E51" s="9">
        <v>44814</v>
      </c>
      <c r="F51" t="s">
        <v>14</v>
      </c>
    </row>
    <row r="52" spans="1:6" x14ac:dyDescent="0.25">
      <c r="A52">
        <v>86.34</v>
      </c>
      <c r="B52">
        <v>18</v>
      </c>
      <c r="C52">
        <v>1.8</v>
      </c>
      <c r="D52">
        <v>2022</v>
      </c>
      <c r="E52" s="9">
        <v>44814</v>
      </c>
      <c r="F52" t="s">
        <v>14</v>
      </c>
    </row>
    <row r="53" spans="1:6" x14ac:dyDescent="0.25">
      <c r="A53">
        <v>83.16</v>
      </c>
      <c r="B53">
        <v>34</v>
      </c>
      <c r="C53">
        <v>22.4</v>
      </c>
      <c r="D53">
        <v>2015</v>
      </c>
      <c r="E53" s="9">
        <v>42205</v>
      </c>
      <c r="F53" t="s">
        <v>14</v>
      </c>
    </row>
    <row r="54" spans="1:6" x14ac:dyDescent="0.25">
      <c r="A54">
        <v>83.16</v>
      </c>
      <c r="B54">
        <v>35</v>
      </c>
      <c r="C54">
        <v>1</v>
      </c>
      <c r="D54">
        <v>2015</v>
      </c>
      <c r="E54" s="9">
        <v>42205</v>
      </c>
      <c r="F54" t="s">
        <v>14</v>
      </c>
    </row>
    <row r="55" spans="1:6" x14ac:dyDescent="0.25">
      <c r="A55">
        <v>83.16</v>
      </c>
      <c r="B55">
        <v>36</v>
      </c>
      <c r="C55">
        <v>10.5</v>
      </c>
      <c r="D55">
        <v>2015</v>
      </c>
      <c r="E55" s="9">
        <v>42205</v>
      </c>
      <c r="F55" t="s">
        <v>14</v>
      </c>
    </row>
    <row r="56" spans="1:6" x14ac:dyDescent="0.25">
      <c r="A56">
        <v>83.16</v>
      </c>
      <c r="B56">
        <v>37</v>
      </c>
      <c r="C56">
        <v>6.2</v>
      </c>
      <c r="D56">
        <v>2015</v>
      </c>
      <c r="E56" s="9">
        <v>42205</v>
      </c>
      <c r="F56" t="s">
        <v>14</v>
      </c>
    </row>
    <row r="57" spans="1:6" x14ac:dyDescent="0.25">
      <c r="A57">
        <v>83.16</v>
      </c>
      <c r="B57">
        <v>38</v>
      </c>
      <c r="C57">
        <v>33.6</v>
      </c>
      <c r="D57">
        <v>2015</v>
      </c>
      <c r="E57" s="9">
        <v>42205</v>
      </c>
      <c r="F57" t="s">
        <v>14</v>
      </c>
    </row>
    <row r="58" spans="1:6" x14ac:dyDescent="0.25">
      <c r="A58">
        <v>83.16</v>
      </c>
      <c r="B58">
        <v>39</v>
      </c>
      <c r="C58">
        <v>19.7</v>
      </c>
      <c r="D58">
        <v>2015</v>
      </c>
      <c r="E58" s="9">
        <v>42205</v>
      </c>
      <c r="F58" t="s">
        <v>14</v>
      </c>
    </row>
    <row r="59" spans="1:6" x14ac:dyDescent="0.25">
      <c r="A59">
        <v>83.16</v>
      </c>
      <c r="B59">
        <v>40</v>
      </c>
      <c r="C59">
        <v>1.2</v>
      </c>
      <c r="D59">
        <v>2015</v>
      </c>
      <c r="E59" s="9">
        <v>42205</v>
      </c>
      <c r="F59" t="s">
        <v>14</v>
      </c>
    </row>
    <row r="60" spans="1:6" x14ac:dyDescent="0.25">
      <c r="A60">
        <v>83.16</v>
      </c>
      <c r="B60">
        <v>41</v>
      </c>
      <c r="C60">
        <v>9.9</v>
      </c>
      <c r="D60">
        <v>2015</v>
      </c>
      <c r="E60" s="9">
        <v>42205</v>
      </c>
      <c r="F60" t="s">
        <v>14</v>
      </c>
    </row>
    <row r="61" spans="1:6" x14ac:dyDescent="0.25">
      <c r="A61">
        <v>83.16</v>
      </c>
      <c r="B61">
        <v>42</v>
      </c>
      <c r="C61">
        <v>5.2</v>
      </c>
      <c r="D61">
        <v>2015</v>
      </c>
      <c r="E61" s="9">
        <v>42205</v>
      </c>
      <c r="F61" t="s">
        <v>14</v>
      </c>
    </row>
    <row r="62" spans="1:6" x14ac:dyDescent="0.25">
      <c r="A62">
        <v>83.16</v>
      </c>
      <c r="B62">
        <v>43</v>
      </c>
      <c r="C62">
        <v>4.8</v>
      </c>
      <c r="D62">
        <v>2015</v>
      </c>
      <c r="E62" s="9">
        <v>42205</v>
      </c>
      <c r="F62" t="s">
        <v>14</v>
      </c>
    </row>
    <row r="63" spans="1:6" x14ac:dyDescent="0.25">
      <c r="A63">
        <v>83.16</v>
      </c>
      <c r="B63">
        <v>44</v>
      </c>
      <c r="C63">
        <v>26.3</v>
      </c>
      <c r="D63">
        <v>2015</v>
      </c>
      <c r="E63" s="9">
        <v>42205</v>
      </c>
      <c r="F63" t="s">
        <v>14</v>
      </c>
    </row>
    <row r="64" spans="1:6" x14ac:dyDescent="0.25">
      <c r="A64">
        <v>83.16</v>
      </c>
      <c r="B64">
        <v>45</v>
      </c>
      <c r="C64">
        <v>10.5</v>
      </c>
      <c r="D64">
        <v>2015</v>
      </c>
      <c r="E64" s="9">
        <v>42205</v>
      </c>
      <c r="F64" t="s">
        <v>14</v>
      </c>
    </row>
    <row r="65" spans="1:6" x14ac:dyDescent="0.25">
      <c r="A65">
        <v>83.16</v>
      </c>
      <c r="B65">
        <v>46</v>
      </c>
      <c r="C65">
        <v>14.4</v>
      </c>
      <c r="D65">
        <v>2015</v>
      </c>
      <c r="E65" s="9">
        <v>42205</v>
      </c>
      <c r="F65" t="s">
        <v>14</v>
      </c>
    </row>
    <row r="66" spans="1:6" x14ac:dyDescent="0.25">
      <c r="A66">
        <v>83.16</v>
      </c>
      <c r="B66">
        <v>47</v>
      </c>
      <c r="C66">
        <v>28</v>
      </c>
      <c r="D66">
        <v>2015</v>
      </c>
      <c r="E66" s="9">
        <v>42205</v>
      </c>
      <c r="F66" t="s">
        <v>14</v>
      </c>
    </row>
    <row r="67" spans="1:6" x14ac:dyDescent="0.25">
      <c r="A67">
        <v>83.16</v>
      </c>
      <c r="B67">
        <v>19</v>
      </c>
      <c r="C67">
        <v>5.3</v>
      </c>
      <c r="D67">
        <v>2022</v>
      </c>
      <c r="E67" s="9">
        <v>44814</v>
      </c>
      <c r="F67" t="s">
        <v>14</v>
      </c>
    </row>
    <row r="68" spans="1:6" x14ac:dyDescent="0.25">
      <c r="A68">
        <v>83.16</v>
      </c>
      <c r="B68">
        <v>20</v>
      </c>
      <c r="C68">
        <v>0.7</v>
      </c>
      <c r="D68">
        <v>2022</v>
      </c>
      <c r="E68" s="9">
        <v>44814</v>
      </c>
      <c r="F68" t="s">
        <v>14</v>
      </c>
    </row>
    <row r="69" spans="1:6" x14ac:dyDescent="0.25">
      <c r="A69">
        <v>83.16</v>
      </c>
      <c r="B69">
        <v>21</v>
      </c>
      <c r="C69">
        <v>31.4</v>
      </c>
      <c r="D69">
        <v>2022</v>
      </c>
      <c r="E69" s="9">
        <v>44814</v>
      </c>
      <c r="F69" t="s">
        <v>14</v>
      </c>
    </row>
    <row r="70" spans="1:6" x14ac:dyDescent="0.25">
      <c r="A70">
        <v>83.16</v>
      </c>
      <c r="B70">
        <v>22</v>
      </c>
      <c r="C70">
        <v>2.9</v>
      </c>
      <c r="D70">
        <v>2022</v>
      </c>
      <c r="E70" s="9">
        <v>44814</v>
      </c>
      <c r="F70" t="s">
        <v>14</v>
      </c>
    </row>
    <row r="71" spans="1:6" x14ac:dyDescent="0.25">
      <c r="A71">
        <v>83.16</v>
      </c>
      <c r="B71">
        <v>23</v>
      </c>
      <c r="C71">
        <v>0.3</v>
      </c>
      <c r="D71">
        <v>2022</v>
      </c>
      <c r="E71" s="9">
        <v>44814</v>
      </c>
      <c r="F71" t="s">
        <v>14</v>
      </c>
    </row>
    <row r="72" spans="1:6" x14ac:dyDescent="0.25">
      <c r="A72">
        <v>83.16</v>
      </c>
      <c r="B72">
        <v>24</v>
      </c>
      <c r="C72">
        <v>8.3000000000000007</v>
      </c>
      <c r="D72">
        <v>2022</v>
      </c>
      <c r="E72" s="9">
        <v>44814</v>
      </c>
      <c r="F72" t="s">
        <v>14</v>
      </c>
    </row>
    <row r="73" spans="1:6" x14ac:dyDescent="0.25">
      <c r="A73">
        <v>81.56</v>
      </c>
      <c r="B73">
        <v>48</v>
      </c>
      <c r="C73">
        <v>1.3</v>
      </c>
      <c r="D73">
        <v>2015</v>
      </c>
      <c r="E73" s="9">
        <v>42205</v>
      </c>
      <c r="F73" t="s">
        <v>14</v>
      </c>
    </row>
    <row r="74" spans="1:6" x14ac:dyDescent="0.25">
      <c r="A74">
        <v>81.56</v>
      </c>
      <c r="B74">
        <v>49</v>
      </c>
      <c r="C74">
        <v>20.8</v>
      </c>
      <c r="D74">
        <v>2015</v>
      </c>
      <c r="E74" s="9">
        <v>42205</v>
      </c>
      <c r="F74" t="s">
        <v>14</v>
      </c>
    </row>
    <row r="75" spans="1:6" x14ac:dyDescent="0.25">
      <c r="A75">
        <v>81.56</v>
      </c>
      <c r="B75">
        <v>50</v>
      </c>
      <c r="C75">
        <v>6.3</v>
      </c>
      <c r="D75">
        <v>2015</v>
      </c>
      <c r="E75" s="9">
        <v>42205</v>
      </c>
      <c r="F75" t="s">
        <v>14</v>
      </c>
    </row>
    <row r="76" spans="1:6" x14ac:dyDescent="0.25">
      <c r="A76">
        <v>81.56</v>
      </c>
      <c r="B76">
        <v>51</v>
      </c>
      <c r="C76">
        <v>4.7</v>
      </c>
      <c r="D76">
        <v>2015</v>
      </c>
      <c r="E76" s="9">
        <v>42205</v>
      </c>
      <c r="F76" t="s">
        <v>14</v>
      </c>
    </row>
    <row r="77" spans="1:6" x14ac:dyDescent="0.25">
      <c r="A77">
        <v>81.56</v>
      </c>
      <c r="B77">
        <v>52</v>
      </c>
      <c r="C77">
        <v>20.3</v>
      </c>
      <c r="D77">
        <v>2015</v>
      </c>
      <c r="E77" s="9">
        <v>42205</v>
      </c>
      <c r="F77" t="s">
        <v>14</v>
      </c>
    </row>
    <row r="78" spans="1:6" x14ac:dyDescent="0.25">
      <c r="A78">
        <v>81.56</v>
      </c>
      <c r="B78">
        <v>53</v>
      </c>
      <c r="C78">
        <v>1</v>
      </c>
      <c r="D78">
        <v>2015</v>
      </c>
      <c r="E78" s="9">
        <v>42205</v>
      </c>
      <c r="F78" t="s">
        <v>14</v>
      </c>
    </row>
    <row r="79" spans="1:6" x14ac:dyDescent="0.25">
      <c r="A79">
        <v>81.56</v>
      </c>
      <c r="B79">
        <v>54</v>
      </c>
      <c r="C79">
        <v>8</v>
      </c>
      <c r="D79">
        <v>2015</v>
      </c>
      <c r="E79" s="9">
        <v>42205</v>
      </c>
      <c r="F79" t="s">
        <v>14</v>
      </c>
    </row>
    <row r="80" spans="1:6" x14ac:dyDescent="0.25">
      <c r="A80">
        <v>81.56</v>
      </c>
      <c r="B80">
        <v>55</v>
      </c>
      <c r="C80">
        <v>33.4</v>
      </c>
      <c r="D80">
        <v>2015</v>
      </c>
      <c r="E80" s="9">
        <v>42205</v>
      </c>
      <c r="F80" t="s">
        <v>14</v>
      </c>
    </row>
    <row r="81" spans="1:6" x14ac:dyDescent="0.25">
      <c r="A81">
        <v>81.56</v>
      </c>
      <c r="B81">
        <v>56</v>
      </c>
      <c r="C81">
        <v>0.8</v>
      </c>
      <c r="D81">
        <v>2015</v>
      </c>
      <c r="E81" s="9">
        <v>42205</v>
      </c>
      <c r="F81" t="s">
        <v>14</v>
      </c>
    </row>
    <row r="82" spans="1:6" x14ac:dyDescent="0.25">
      <c r="A82">
        <v>81.56</v>
      </c>
      <c r="B82">
        <v>57</v>
      </c>
      <c r="C82">
        <v>0.7</v>
      </c>
      <c r="D82">
        <v>2015</v>
      </c>
      <c r="E82" s="9">
        <v>42205</v>
      </c>
      <c r="F82" t="s">
        <v>14</v>
      </c>
    </row>
    <row r="83" spans="1:6" x14ac:dyDescent="0.25">
      <c r="A83">
        <v>81.56</v>
      </c>
      <c r="B83">
        <v>58</v>
      </c>
      <c r="C83">
        <v>3.8</v>
      </c>
      <c r="D83">
        <v>2015</v>
      </c>
      <c r="E83" s="9">
        <v>42205</v>
      </c>
      <c r="F83" t="s">
        <v>14</v>
      </c>
    </row>
    <row r="84" spans="1:6" x14ac:dyDescent="0.25">
      <c r="A84">
        <v>81.56</v>
      </c>
      <c r="B84">
        <v>59</v>
      </c>
      <c r="C84">
        <v>4.8</v>
      </c>
      <c r="D84">
        <v>2015</v>
      </c>
      <c r="E84" s="9">
        <v>42205</v>
      </c>
      <c r="F84" t="s">
        <v>14</v>
      </c>
    </row>
    <row r="85" spans="1:6" x14ac:dyDescent="0.25">
      <c r="A85">
        <v>81.56</v>
      </c>
      <c r="B85">
        <v>60</v>
      </c>
      <c r="C85">
        <v>0.9</v>
      </c>
      <c r="D85">
        <v>2015</v>
      </c>
      <c r="E85" s="9">
        <v>42205</v>
      </c>
      <c r="F85" t="s">
        <v>14</v>
      </c>
    </row>
    <row r="86" spans="1:6" x14ac:dyDescent="0.25">
      <c r="A86">
        <v>81.56</v>
      </c>
      <c r="B86">
        <v>61</v>
      </c>
      <c r="C86">
        <v>13.4</v>
      </c>
      <c r="D86">
        <v>2015</v>
      </c>
      <c r="E86" s="9">
        <v>42205</v>
      </c>
      <c r="F86" t="s">
        <v>14</v>
      </c>
    </row>
    <row r="87" spans="1:6" x14ac:dyDescent="0.25">
      <c r="A87">
        <v>81.56</v>
      </c>
      <c r="B87">
        <v>62</v>
      </c>
      <c r="C87">
        <v>42.5</v>
      </c>
      <c r="D87">
        <v>2015</v>
      </c>
      <c r="E87" s="9">
        <v>42205</v>
      </c>
      <c r="F87" t="s">
        <v>14</v>
      </c>
    </row>
    <row r="88" spans="1:6" x14ac:dyDescent="0.25">
      <c r="A88">
        <v>81.56</v>
      </c>
      <c r="B88">
        <v>63</v>
      </c>
      <c r="C88">
        <v>19.7</v>
      </c>
      <c r="D88">
        <v>2015</v>
      </c>
      <c r="E88" s="9">
        <v>42205</v>
      </c>
      <c r="F88" t="s">
        <v>14</v>
      </c>
    </row>
    <row r="89" spans="1:6" x14ac:dyDescent="0.25">
      <c r="A89">
        <v>81.56</v>
      </c>
      <c r="B89">
        <v>25</v>
      </c>
      <c r="C89">
        <v>16.100000000000001</v>
      </c>
      <c r="D89">
        <v>2022</v>
      </c>
      <c r="E89" s="9">
        <v>44814</v>
      </c>
      <c r="F89" t="s">
        <v>14</v>
      </c>
    </row>
    <row r="90" spans="1:6" x14ac:dyDescent="0.25">
      <c r="A90">
        <v>81.56</v>
      </c>
      <c r="B90">
        <v>26</v>
      </c>
      <c r="C90">
        <v>6.9</v>
      </c>
      <c r="D90">
        <v>2022</v>
      </c>
      <c r="E90" s="9">
        <v>44814</v>
      </c>
      <c r="F90" t="s">
        <v>14</v>
      </c>
    </row>
    <row r="91" spans="1:6" x14ac:dyDescent="0.25">
      <c r="A91">
        <v>81.56</v>
      </c>
      <c r="B91">
        <v>27</v>
      </c>
      <c r="C91">
        <v>0.9</v>
      </c>
      <c r="D91">
        <v>2022</v>
      </c>
      <c r="E91" s="9">
        <v>44814</v>
      </c>
      <c r="F91" t="s">
        <v>14</v>
      </c>
    </row>
    <row r="92" spans="1:6" x14ac:dyDescent="0.25">
      <c r="A92">
        <v>81.56</v>
      </c>
      <c r="B92">
        <v>28</v>
      </c>
      <c r="C92">
        <v>0.6</v>
      </c>
      <c r="D92">
        <v>2022</v>
      </c>
      <c r="E92" s="9">
        <v>44814</v>
      </c>
      <c r="F92" t="s">
        <v>14</v>
      </c>
    </row>
    <row r="93" spans="1:6" x14ac:dyDescent="0.25">
      <c r="A93">
        <v>81.56</v>
      </c>
      <c r="B93">
        <v>29</v>
      </c>
      <c r="C93">
        <v>1</v>
      </c>
      <c r="D93">
        <v>2022</v>
      </c>
      <c r="E93" s="9">
        <v>44814</v>
      </c>
      <c r="F93" t="s">
        <v>14</v>
      </c>
    </row>
    <row r="94" spans="1:6" x14ac:dyDescent="0.25">
      <c r="A94">
        <v>81.56</v>
      </c>
      <c r="B94">
        <v>30</v>
      </c>
      <c r="C94">
        <v>5.3</v>
      </c>
      <c r="D94">
        <v>2022</v>
      </c>
      <c r="E94" s="9">
        <v>44814</v>
      </c>
      <c r="F94" t="s">
        <v>14</v>
      </c>
    </row>
    <row r="95" spans="1:6" x14ac:dyDescent="0.25">
      <c r="A95">
        <v>81.56</v>
      </c>
      <c r="B95">
        <v>31</v>
      </c>
      <c r="C95">
        <v>5</v>
      </c>
      <c r="D95">
        <v>2022</v>
      </c>
      <c r="E95" s="9">
        <v>44814</v>
      </c>
      <c r="F95" t="s">
        <v>14</v>
      </c>
    </row>
    <row r="96" spans="1:6" x14ac:dyDescent="0.25">
      <c r="A96">
        <v>81.56</v>
      </c>
      <c r="B96">
        <v>32</v>
      </c>
      <c r="C96">
        <v>1.9</v>
      </c>
      <c r="D96">
        <v>2022</v>
      </c>
      <c r="E96" s="9">
        <v>44814</v>
      </c>
      <c r="F96" t="s">
        <v>14</v>
      </c>
    </row>
    <row r="97" spans="1:6" x14ac:dyDescent="0.25">
      <c r="A97">
        <v>81.56</v>
      </c>
      <c r="B97">
        <v>33</v>
      </c>
      <c r="C97">
        <v>6.1</v>
      </c>
      <c r="D97">
        <v>2022</v>
      </c>
      <c r="E97" s="9">
        <v>44814</v>
      </c>
      <c r="F97" t="s">
        <v>14</v>
      </c>
    </row>
    <row r="98" spans="1:6" x14ac:dyDescent="0.25">
      <c r="A98">
        <v>81.56</v>
      </c>
      <c r="B98">
        <v>34</v>
      </c>
      <c r="C98">
        <v>3.5</v>
      </c>
      <c r="D98">
        <v>2022</v>
      </c>
      <c r="E98" s="9">
        <v>44814</v>
      </c>
      <c r="F98" t="s">
        <v>14</v>
      </c>
    </row>
    <row r="99" spans="1:6" x14ac:dyDescent="0.25">
      <c r="A99">
        <v>81.56</v>
      </c>
      <c r="B99">
        <v>35</v>
      </c>
      <c r="C99">
        <v>8.4</v>
      </c>
      <c r="D99">
        <v>2022</v>
      </c>
      <c r="E99" s="9">
        <v>44814</v>
      </c>
      <c r="F99" t="s">
        <v>14</v>
      </c>
    </row>
    <row r="100" spans="1:6" x14ac:dyDescent="0.25">
      <c r="A100">
        <v>81.56</v>
      </c>
      <c r="B100">
        <v>36</v>
      </c>
      <c r="C100">
        <v>0.2</v>
      </c>
      <c r="D100">
        <v>2022</v>
      </c>
      <c r="E100" s="9">
        <v>44814</v>
      </c>
      <c r="F100" t="s">
        <v>14</v>
      </c>
    </row>
    <row r="101" spans="1:6" x14ac:dyDescent="0.25">
      <c r="A101">
        <v>81.56</v>
      </c>
      <c r="B101">
        <v>37</v>
      </c>
      <c r="C101">
        <v>12.9</v>
      </c>
      <c r="D101">
        <v>2022</v>
      </c>
      <c r="E101" s="9">
        <v>44814</v>
      </c>
      <c r="F101" t="s">
        <v>14</v>
      </c>
    </row>
    <row r="102" spans="1:6" x14ac:dyDescent="0.25">
      <c r="A102">
        <v>81.56</v>
      </c>
      <c r="B102">
        <v>38</v>
      </c>
      <c r="C102">
        <v>2.8</v>
      </c>
      <c r="D102">
        <v>2022</v>
      </c>
      <c r="E102" s="9">
        <v>44814</v>
      </c>
      <c r="F102" t="s">
        <v>14</v>
      </c>
    </row>
    <row r="103" spans="1:6" x14ac:dyDescent="0.25">
      <c r="A103">
        <v>81.56</v>
      </c>
      <c r="B103">
        <v>39</v>
      </c>
      <c r="C103">
        <v>50.9</v>
      </c>
      <c r="D103">
        <v>2022</v>
      </c>
      <c r="E103" s="9">
        <v>44814</v>
      </c>
      <c r="F103" t="s">
        <v>14</v>
      </c>
    </row>
    <row r="104" spans="1:6" x14ac:dyDescent="0.25">
      <c r="A104">
        <v>81.56</v>
      </c>
      <c r="B104">
        <v>40</v>
      </c>
      <c r="C104">
        <v>16.8</v>
      </c>
      <c r="D104">
        <v>2022</v>
      </c>
      <c r="E104" s="9">
        <v>44814</v>
      </c>
      <c r="F104" t="s">
        <v>14</v>
      </c>
    </row>
    <row r="105" spans="1:6" x14ac:dyDescent="0.25">
      <c r="A105">
        <v>81.56</v>
      </c>
      <c r="B105">
        <v>41</v>
      </c>
      <c r="C105">
        <v>2.6</v>
      </c>
      <c r="D105">
        <v>2022</v>
      </c>
      <c r="E105" s="9">
        <v>44814</v>
      </c>
      <c r="F105" t="s">
        <v>14</v>
      </c>
    </row>
    <row r="106" spans="1:6" x14ac:dyDescent="0.25">
      <c r="A106">
        <v>81.56</v>
      </c>
      <c r="B106">
        <v>42</v>
      </c>
      <c r="C106">
        <v>3.1</v>
      </c>
      <c r="D106">
        <v>2022</v>
      </c>
      <c r="E106" s="9">
        <v>44814</v>
      </c>
      <c r="F106" t="s">
        <v>14</v>
      </c>
    </row>
    <row r="107" spans="1:6" x14ac:dyDescent="0.25">
      <c r="A107">
        <v>81.56</v>
      </c>
      <c r="B107">
        <v>43</v>
      </c>
      <c r="C107">
        <v>0.4</v>
      </c>
      <c r="D107">
        <v>2022</v>
      </c>
      <c r="E107" s="9">
        <v>44814</v>
      </c>
      <c r="F107" t="s">
        <v>14</v>
      </c>
    </row>
    <row r="108" spans="1:6" x14ac:dyDescent="0.25">
      <c r="A108">
        <v>74.97</v>
      </c>
      <c r="B108">
        <v>64</v>
      </c>
      <c r="C108">
        <v>42.5</v>
      </c>
      <c r="D108">
        <v>2015</v>
      </c>
      <c r="E108" s="9">
        <v>42202</v>
      </c>
      <c r="F108" t="s">
        <v>14</v>
      </c>
    </row>
    <row r="109" spans="1:6" x14ac:dyDescent="0.25">
      <c r="A109">
        <v>74.97</v>
      </c>
      <c r="B109">
        <v>65</v>
      </c>
      <c r="C109">
        <v>9.9</v>
      </c>
      <c r="D109">
        <v>2015</v>
      </c>
      <c r="E109" s="9">
        <v>42202</v>
      </c>
      <c r="F109" t="s">
        <v>14</v>
      </c>
    </row>
    <row r="110" spans="1:6" x14ac:dyDescent="0.25">
      <c r="A110">
        <v>74.97</v>
      </c>
      <c r="B110">
        <v>66</v>
      </c>
      <c r="C110">
        <v>53</v>
      </c>
      <c r="D110">
        <v>2015</v>
      </c>
      <c r="E110" s="9">
        <v>42202</v>
      </c>
      <c r="F110" t="s">
        <v>14</v>
      </c>
    </row>
    <row r="111" spans="1:6" x14ac:dyDescent="0.25">
      <c r="A111">
        <v>74.97</v>
      </c>
      <c r="B111">
        <v>67</v>
      </c>
      <c r="C111">
        <v>27.4</v>
      </c>
      <c r="D111">
        <v>2015</v>
      </c>
      <c r="E111" s="9">
        <v>42202</v>
      </c>
      <c r="F111" t="s">
        <v>14</v>
      </c>
    </row>
    <row r="112" spans="1:6" x14ac:dyDescent="0.25">
      <c r="A112">
        <v>74.97</v>
      </c>
      <c r="B112">
        <v>68</v>
      </c>
      <c r="C112">
        <v>27.8</v>
      </c>
      <c r="D112">
        <v>2015</v>
      </c>
      <c r="E112" s="9">
        <v>42202</v>
      </c>
      <c r="F112" t="s">
        <v>14</v>
      </c>
    </row>
    <row r="113" spans="1:6" x14ac:dyDescent="0.25">
      <c r="A113">
        <v>74.97</v>
      </c>
      <c r="B113">
        <v>69</v>
      </c>
      <c r="C113">
        <v>1.2</v>
      </c>
      <c r="D113">
        <v>2015</v>
      </c>
      <c r="E113" s="9">
        <v>42202</v>
      </c>
      <c r="F113" t="s">
        <v>14</v>
      </c>
    </row>
    <row r="114" spans="1:6" x14ac:dyDescent="0.25">
      <c r="A114">
        <v>74.97</v>
      </c>
      <c r="B114">
        <v>70</v>
      </c>
      <c r="C114">
        <v>2.1</v>
      </c>
      <c r="D114">
        <v>2015</v>
      </c>
      <c r="E114" s="9">
        <v>42202</v>
      </c>
      <c r="F114" t="s">
        <v>14</v>
      </c>
    </row>
    <row r="115" spans="1:6" x14ac:dyDescent="0.25">
      <c r="A115">
        <v>74.97</v>
      </c>
      <c r="B115">
        <v>71</v>
      </c>
      <c r="C115">
        <v>58.7</v>
      </c>
      <c r="D115">
        <v>2015</v>
      </c>
      <c r="E115" s="9">
        <v>42202</v>
      </c>
      <c r="F115" t="s">
        <v>14</v>
      </c>
    </row>
    <row r="116" spans="1:6" x14ac:dyDescent="0.25">
      <c r="A116">
        <v>74.97</v>
      </c>
      <c r="B116">
        <v>72</v>
      </c>
      <c r="C116">
        <v>16.600000000000001</v>
      </c>
      <c r="D116">
        <v>2015</v>
      </c>
      <c r="E116" s="9">
        <v>42202</v>
      </c>
      <c r="F116" t="s">
        <v>14</v>
      </c>
    </row>
    <row r="117" spans="1:6" x14ac:dyDescent="0.25">
      <c r="A117">
        <v>74.97</v>
      </c>
      <c r="B117">
        <v>73</v>
      </c>
      <c r="C117">
        <v>0.4</v>
      </c>
      <c r="D117">
        <v>2015</v>
      </c>
      <c r="E117" s="9">
        <v>42202</v>
      </c>
      <c r="F117" t="s">
        <v>14</v>
      </c>
    </row>
    <row r="118" spans="1:6" x14ac:dyDescent="0.25">
      <c r="A118">
        <v>74.97</v>
      </c>
      <c r="B118">
        <v>74</v>
      </c>
      <c r="C118">
        <v>0.4</v>
      </c>
      <c r="D118">
        <v>2015</v>
      </c>
      <c r="E118" s="9">
        <v>42202</v>
      </c>
      <c r="F118" t="s">
        <v>14</v>
      </c>
    </row>
    <row r="119" spans="1:6" x14ac:dyDescent="0.25">
      <c r="A119">
        <v>74.97</v>
      </c>
      <c r="B119">
        <v>75</v>
      </c>
      <c r="C119">
        <v>7.8</v>
      </c>
      <c r="D119">
        <v>2015</v>
      </c>
      <c r="E119" s="9">
        <v>42202</v>
      </c>
      <c r="F119" t="s">
        <v>14</v>
      </c>
    </row>
    <row r="120" spans="1:6" x14ac:dyDescent="0.25">
      <c r="A120">
        <v>74.97</v>
      </c>
      <c r="B120">
        <v>76</v>
      </c>
      <c r="C120">
        <v>24.4</v>
      </c>
      <c r="D120">
        <v>2015</v>
      </c>
      <c r="E120" s="9">
        <v>42202</v>
      </c>
      <c r="F120" t="s">
        <v>14</v>
      </c>
    </row>
    <row r="121" spans="1:6" x14ac:dyDescent="0.25">
      <c r="A121">
        <v>74.97</v>
      </c>
      <c r="B121">
        <v>77</v>
      </c>
      <c r="C121">
        <v>2.2999999999999998</v>
      </c>
      <c r="D121">
        <v>2015</v>
      </c>
      <c r="E121" s="9">
        <v>42202</v>
      </c>
      <c r="F121" t="s">
        <v>14</v>
      </c>
    </row>
    <row r="122" spans="1:6" x14ac:dyDescent="0.25">
      <c r="A122">
        <v>74.97</v>
      </c>
      <c r="B122">
        <v>78</v>
      </c>
      <c r="C122">
        <v>4.8</v>
      </c>
      <c r="D122">
        <v>2015</v>
      </c>
      <c r="E122" s="9">
        <v>42202</v>
      </c>
      <c r="F122" t="s">
        <v>14</v>
      </c>
    </row>
    <row r="123" spans="1:6" x14ac:dyDescent="0.25">
      <c r="A123">
        <v>74.97</v>
      </c>
      <c r="B123">
        <v>79</v>
      </c>
      <c r="C123">
        <v>25.1</v>
      </c>
      <c r="D123">
        <v>2015</v>
      </c>
      <c r="E123" s="9">
        <v>42202</v>
      </c>
      <c r="F123" t="s">
        <v>14</v>
      </c>
    </row>
    <row r="124" spans="1:6" x14ac:dyDescent="0.25">
      <c r="A124">
        <v>74.97</v>
      </c>
      <c r="B124">
        <v>80</v>
      </c>
      <c r="C124">
        <v>5.6</v>
      </c>
      <c r="D124">
        <v>2015</v>
      </c>
      <c r="E124" s="9">
        <v>42202</v>
      </c>
      <c r="F124" t="s">
        <v>14</v>
      </c>
    </row>
    <row r="125" spans="1:6" x14ac:dyDescent="0.25">
      <c r="A125">
        <v>74.97</v>
      </c>
      <c r="B125">
        <v>81</v>
      </c>
      <c r="C125">
        <v>10</v>
      </c>
      <c r="D125">
        <v>2015</v>
      </c>
      <c r="E125" s="9">
        <v>42202</v>
      </c>
      <c r="F125" t="s">
        <v>14</v>
      </c>
    </row>
    <row r="126" spans="1:6" x14ac:dyDescent="0.25">
      <c r="A126">
        <v>74.97</v>
      </c>
      <c r="B126">
        <v>82</v>
      </c>
      <c r="C126">
        <v>1.1000000000000001</v>
      </c>
      <c r="D126">
        <v>2015</v>
      </c>
      <c r="E126" s="9">
        <v>42202</v>
      </c>
      <c r="F126" t="s">
        <v>14</v>
      </c>
    </row>
    <row r="127" spans="1:6" x14ac:dyDescent="0.25">
      <c r="A127">
        <v>74.97</v>
      </c>
      <c r="B127">
        <v>83</v>
      </c>
      <c r="C127">
        <v>3.7</v>
      </c>
      <c r="D127">
        <v>2015</v>
      </c>
      <c r="E127" s="9">
        <v>42202</v>
      </c>
      <c r="F127" t="s">
        <v>14</v>
      </c>
    </row>
    <row r="128" spans="1:6" x14ac:dyDescent="0.25">
      <c r="A128">
        <v>74.97</v>
      </c>
      <c r="B128">
        <v>84</v>
      </c>
      <c r="C128">
        <v>36.5</v>
      </c>
      <c r="D128">
        <v>2015</v>
      </c>
      <c r="E128" s="9">
        <v>42202</v>
      </c>
      <c r="F128" t="s">
        <v>14</v>
      </c>
    </row>
    <row r="129" spans="1:6" x14ac:dyDescent="0.25">
      <c r="A129">
        <v>74.97</v>
      </c>
      <c r="B129">
        <v>85</v>
      </c>
      <c r="C129">
        <v>6.9</v>
      </c>
      <c r="D129">
        <v>2015</v>
      </c>
      <c r="E129" s="9">
        <v>42202</v>
      </c>
      <c r="F129" t="s">
        <v>14</v>
      </c>
    </row>
    <row r="130" spans="1:6" x14ac:dyDescent="0.25">
      <c r="A130">
        <v>74.97</v>
      </c>
      <c r="B130">
        <v>86</v>
      </c>
      <c r="C130">
        <v>11</v>
      </c>
      <c r="D130">
        <v>2015</v>
      </c>
      <c r="E130" s="9">
        <v>42202</v>
      </c>
      <c r="F130" t="s">
        <v>14</v>
      </c>
    </row>
    <row r="131" spans="1:6" x14ac:dyDescent="0.25">
      <c r="A131">
        <v>74.97</v>
      </c>
      <c r="B131">
        <v>87</v>
      </c>
      <c r="C131">
        <v>27.4</v>
      </c>
      <c r="D131">
        <v>2015</v>
      </c>
      <c r="E131" s="9">
        <v>42202</v>
      </c>
      <c r="F131" t="s">
        <v>14</v>
      </c>
    </row>
    <row r="132" spans="1:6" x14ac:dyDescent="0.25">
      <c r="A132">
        <v>74.97</v>
      </c>
      <c r="B132">
        <v>88</v>
      </c>
      <c r="C132">
        <v>28.8</v>
      </c>
      <c r="D132">
        <v>2015</v>
      </c>
      <c r="E132" s="9">
        <v>42202</v>
      </c>
      <c r="F132" t="s">
        <v>14</v>
      </c>
    </row>
    <row r="133" spans="1:6" x14ac:dyDescent="0.25">
      <c r="A133">
        <v>74.97</v>
      </c>
      <c r="B133">
        <v>44</v>
      </c>
      <c r="C133">
        <v>1.6</v>
      </c>
      <c r="D133">
        <v>2022</v>
      </c>
      <c r="E133" s="9">
        <v>44814</v>
      </c>
      <c r="F133" t="s">
        <v>14</v>
      </c>
    </row>
    <row r="134" spans="1:6" x14ac:dyDescent="0.25">
      <c r="A134">
        <v>74.97</v>
      </c>
      <c r="B134">
        <v>45</v>
      </c>
      <c r="C134">
        <v>2.9</v>
      </c>
      <c r="D134">
        <v>2022</v>
      </c>
      <c r="E134" s="9">
        <v>44814</v>
      </c>
      <c r="F134" t="s">
        <v>14</v>
      </c>
    </row>
    <row r="135" spans="1:6" x14ac:dyDescent="0.25">
      <c r="A135">
        <v>74.97</v>
      </c>
      <c r="B135">
        <v>46</v>
      </c>
      <c r="C135">
        <v>6.1</v>
      </c>
      <c r="D135">
        <v>2022</v>
      </c>
      <c r="E135" s="9">
        <v>44814</v>
      </c>
      <c r="F135" t="s">
        <v>14</v>
      </c>
    </row>
    <row r="136" spans="1:6" x14ac:dyDescent="0.25">
      <c r="A136">
        <v>74.97</v>
      </c>
      <c r="B136">
        <v>47</v>
      </c>
      <c r="C136">
        <v>0.4</v>
      </c>
      <c r="D136">
        <v>2022</v>
      </c>
      <c r="E136" s="9">
        <v>44814</v>
      </c>
      <c r="F136" t="s">
        <v>14</v>
      </c>
    </row>
    <row r="137" spans="1:6" x14ac:dyDescent="0.25">
      <c r="A137">
        <v>74.97</v>
      </c>
      <c r="B137">
        <v>48</v>
      </c>
      <c r="C137">
        <v>12.5</v>
      </c>
      <c r="D137">
        <v>2022</v>
      </c>
      <c r="E137" s="9">
        <v>44814</v>
      </c>
      <c r="F137" t="s">
        <v>14</v>
      </c>
    </row>
    <row r="138" spans="1:6" x14ac:dyDescent="0.25">
      <c r="A138">
        <v>74.97</v>
      </c>
      <c r="B138">
        <v>49</v>
      </c>
      <c r="C138">
        <v>4.4000000000000004</v>
      </c>
      <c r="D138">
        <v>2022</v>
      </c>
      <c r="E138" s="9">
        <v>44814</v>
      </c>
      <c r="F138" t="s">
        <v>14</v>
      </c>
    </row>
    <row r="139" spans="1:6" x14ac:dyDescent="0.25">
      <c r="A139">
        <v>74.97</v>
      </c>
      <c r="B139">
        <v>50</v>
      </c>
      <c r="C139">
        <v>17.8</v>
      </c>
      <c r="D139">
        <v>2022</v>
      </c>
      <c r="E139" s="9">
        <v>44814</v>
      </c>
      <c r="F139" t="s">
        <v>14</v>
      </c>
    </row>
    <row r="140" spans="1:6" x14ac:dyDescent="0.25">
      <c r="A140">
        <v>123</v>
      </c>
      <c r="B140">
        <v>1</v>
      </c>
      <c r="C140">
        <v>85.9</v>
      </c>
      <c r="D140">
        <v>2015</v>
      </c>
      <c r="E140" s="9">
        <v>42202</v>
      </c>
      <c r="F140" t="s">
        <v>18</v>
      </c>
    </row>
    <row r="141" spans="1:6" x14ac:dyDescent="0.25">
      <c r="A141">
        <v>123</v>
      </c>
      <c r="B141">
        <v>2</v>
      </c>
      <c r="C141">
        <v>27.3</v>
      </c>
      <c r="D141">
        <v>2015</v>
      </c>
      <c r="E141" s="9">
        <v>42202</v>
      </c>
      <c r="F141" t="s">
        <v>18</v>
      </c>
    </row>
    <row r="142" spans="1:6" x14ac:dyDescent="0.25">
      <c r="A142">
        <v>123</v>
      </c>
      <c r="B142">
        <v>3</v>
      </c>
      <c r="C142">
        <v>60.6</v>
      </c>
      <c r="D142">
        <v>2015</v>
      </c>
      <c r="E142" s="9">
        <v>42202</v>
      </c>
      <c r="F142" t="s">
        <v>18</v>
      </c>
    </row>
    <row r="143" spans="1:6" x14ac:dyDescent="0.25">
      <c r="A143">
        <v>123</v>
      </c>
      <c r="B143">
        <v>4</v>
      </c>
      <c r="C143">
        <v>31</v>
      </c>
      <c r="D143">
        <v>2015</v>
      </c>
      <c r="E143" s="9">
        <v>42202</v>
      </c>
      <c r="F143" t="s">
        <v>18</v>
      </c>
    </row>
    <row r="144" spans="1:6" x14ac:dyDescent="0.25">
      <c r="A144">
        <v>123</v>
      </c>
      <c r="B144">
        <v>5</v>
      </c>
      <c r="C144">
        <v>27.7</v>
      </c>
      <c r="D144">
        <v>2015</v>
      </c>
      <c r="E144" s="9">
        <v>42202</v>
      </c>
      <c r="F144" t="s">
        <v>18</v>
      </c>
    </row>
    <row r="145" spans="1:6" x14ac:dyDescent="0.25">
      <c r="A145">
        <v>123</v>
      </c>
      <c r="B145">
        <v>6</v>
      </c>
      <c r="C145">
        <v>35.1</v>
      </c>
      <c r="D145">
        <v>2015</v>
      </c>
      <c r="E145" s="9">
        <v>42202</v>
      </c>
      <c r="F145" t="s">
        <v>18</v>
      </c>
    </row>
    <row r="146" spans="1:6" x14ac:dyDescent="0.25">
      <c r="A146">
        <v>123</v>
      </c>
      <c r="B146">
        <v>7</v>
      </c>
      <c r="C146">
        <v>4.5</v>
      </c>
      <c r="D146">
        <v>2015</v>
      </c>
      <c r="E146" s="9">
        <v>42202</v>
      </c>
      <c r="F146" t="s">
        <v>18</v>
      </c>
    </row>
    <row r="147" spans="1:6" x14ac:dyDescent="0.25">
      <c r="A147">
        <v>123</v>
      </c>
      <c r="B147">
        <v>8</v>
      </c>
      <c r="C147">
        <v>6.6</v>
      </c>
      <c r="D147">
        <v>2015</v>
      </c>
      <c r="E147" s="9">
        <v>42202</v>
      </c>
      <c r="F147" t="s">
        <v>18</v>
      </c>
    </row>
    <row r="148" spans="1:6" x14ac:dyDescent="0.25">
      <c r="A148">
        <v>123</v>
      </c>
      <c r="B148">
        <v>9</v>
      </c>
      <c r="C148">
        <v>7.8</v>
      </c>
      <c r="D148">
        <v>2015</v>
      </c>
      <c r="E148" s="9">
        <v>42202</v>
      </c>
      <c r="F148" t="s">
        <v>18</v>
      </c>
    </row>
    <row r="149" spans="1:6" x14ac:dyDescent="0.25">
      <c r="A149">
        <v>123</v>
      </c>
      <c r="B149">
        <v>10</v>
      </c>
      <c r="C149">
        <v>12.9</v>
      </c>
      <c r="D149">
        <v>2015</v>
      </c>
      <c r="E149" s="9">
        <v>42202</v>
      </c>
      <c r="F149" t="s">
        <v>18</v>
      </c>
    </row>
    <row r="150" spans="1:6" x14ac:dyDescent="0.25">
      <c r="A150">
        <v>123</v>
      </c>
      <c r="B150">
        <v>11</v>
      </c>
      <c r="C150">
        <v>24.2</v>
      </c>
      <c r="D150">
        <v>2015</v>
      </c>
      <c r="E150" s="9">
        <v>42202</v>
      </c>
      <c r="F150" t="s">
        <v>18</v>
      </c>
    </row>
    <row r="151" spans="1:6" x14ac:dyDescent="0.25">
      <c r="A151">
        <v>123</v>
      </c>
      <c r="B151">
        <v>12</v>
      </c>
      <c r="C151">
        <v>0.4</v>
      </c>
      <c r="D151">
        <v>2015</v>
      </c>
      <c r="E151" s="9">
        <v>42202</v>
      </c>
      <c r="F151" t="s">
        <v>18</v>
      </c>
    </row>
    <row r="152" spans="1:6" x14ac:dyDescent="0.25">
      <c r="A152">
        <v>123</v>
      </c>
      <c r="B152">
        <v>13</v>
      </c>
      <c r="C152">
        <v>3.4</v>
      </c>
      <c r="D152">
        <v>2015</v>
      </c>
      <c r="E152" s="9">
        <v>42202</v>
      </c>
      <c r="F152" t="s">
        <v>18</v>
      </c>
    </row>
    <row r="153" spans="1:6" x14ac:dyDescent="0.25">
      <c r="A153">
        <v>123</v>
      </c>
      <c r="B153">
        <v>14</v>
      </c>
      <c r="C153">
        <v>2.6</v>
      </c>
      <c r="D153">
        <v>2015</v>
      </c>
      <c r="E153" s="9">
        <v>42202</v>
      </c>
      <c r="F153" t="s">
        <v>18</v>
      </c>
    </row>
    <row r="154" spans="1:6" x14ac:dyDescent="0.25">
      <c r="A154">
        <v>123</v>
      </c>
      <c r="B154">
        <v>15</v>
      </c>
      <c r="C154">
        <v>5.8</v>
      </c>
      <c r="D154">
        <v>2015</v>
      </c>
      <c r="E154" s="9">
        <v>42202</v>
      </c>
      <c r="F154" t="s">
        <v>18</v>
      </c>
    </row>
    <row r="155" spans="1:6" x14ac:dyDescent="0.25">
      <c r="A155">
        <v>123</v>
      </c>
      <c r="B155">
        <v>16</v>
      </c>
      <c r="C155">
        <v>5.8</v>
      </c>
      <c r="D155">
        <v>2015</v>
      </c>
      <c r="E155" s="9">
        <v>42202</v>
      </c>
      <c r="F155" t="s">
        <v>18</v>
      </c>
    </row>
    <row r="156" spans="1:6" x14ac:dyDescent="0.25">
      <c r="A156">
        <v>123</v>
      </c>
      <c r="B156">
        <v>17</v>
      </c>
      <c r="C156">
        <v>10.5</v>
      </c>
      <c r="D156">
        <v>2015</v>
      </c>
      <c r="E156" s="9">
        <v>42202</v>
      </c>
      <c r="F156" t="s">
        <v>18</v>
      </c>
    </row>
    <row r="157" spans="1:6" x14ac:dyDescent="0.25">
      <c r="A157">
        <v>123</v>
      </c>
      <c r="B157">
        <v>18</v>
      </c>
      <c r="C157">
        <v>120.5</v>
      </c>
      <c r="D157">
        <v>2015</v>
      </c>
      <c r="E157" s="9">
        <v>42202</v>
      </c>
      <c r="F157" t="s">
        <v>18</v>
      </c>
    </row>
    <row r="158" spans="1:6" x14ac:dyDescent="0.25">
      <c r="A158">
        <v>123</v>
      </c>
      <c r="B158">
        <v>19</v>
      </c>
      <c r="C158">
        <v>9.9</v>
      </c>
      <c r="D158">
        <v>2015</v>
      </c>
      <c r="E158" s="9">
        <v>42202</v>
      </c>
      <c r="F158" t="s">
        <v>18</v>
      </c>
    </row>
    <row r="159" spans="1:6" x14ac:dyDescent="0.25">
      <c r="A159">
        <v>123</v>
      </c>
      <c r="B159">
        <v>20</v>
      </c>
      <c r="C159">
        <v>15.6</v>
      </c>
      <c r="D159">
        <v>2015</v>
      </c>
      <c r="E159" s="9">
        <v>42202</v>
      </c>
      <c r="F159" t="s">
        <v>18</v>
      </c>
    </row>
    <row r="160" spans="1:6" x14ac:dyDescent="0.25">
      <c r="A160">
        <v>123</v>
      </c>
      <c r="B160">
        <v>21</v>
      </c>
      <c r="C160">
        <v>16.5</v>
      </c>
      <c r="D160">
        <v>2015</v>
      </c>
      <c r="E160" s="9">
        <v>42202</v>
      </c>
      <c r="F160" t="s">
        <v>18</v>
      </c>
    </row>
    <row r="161" spans="1:6" x14ac:dyDescent="0.25">
      <c r="A161">
        <v>123</v>
      </c>
      <c r="B161">
        <v>22</v>
      </c>
      <c r="C161">
        <v>16.8</v>
      </c>
      <c r="D161">
        <v>2015</v>
      </c>
      <c r="E161" s="9">
        <v>42202</v>
      </c>
      <c r="F161" t="s">
        <v>18</v>
      </c>
    </row>
    <row r="162" spans="1:6" x14ac:dyDescent="0.25">
      <c r="A162">
        <v>123</v>
      </c>
      <c r="B162">
        <v>23</v>
      </c>
      <c r="C162">
        <v>6.1</v>
      </c>
      <c r="D162">
        <v>2015</v>
      </c>
      <c r="E162" s="9">
        <v>42202</v>
      </c>
      <c r="F162" t="s">
        <v>18</v>
      </c>
    </row>
    <row r="163" spans="1:6" x14ac:dyDescent="0.25">
      <c r="A163">
        <v>123</v>
      </c>
      <c r="B163">
        <v>24</v>
      </c>
      <c r="C163">
        <v>1.5</v>
      </c>
      <c r="D163">
        <v>2015</v>
      </c>
      <c r="E163" s="9">
        <v>42202</v>
      </c>
      <c r="F163" t="s">
        <v>18</v>
      </c>
    </row>
    <row r="164" spans="1:6" x14ac:dyDescent="0.25">
      <c r="A164">
        <v>123</v>
      </c>
      <c r="B164">
        <v>25</v>
      </c>
      <c r="C164">
        <v>1.3</v>
      </c>
      <c r="D164">
        <v>2015</v>
      </c>
      <c r="E164" s="9">
        <v>42202</v>
      </c>
      <c r="F164" t="s">
        <v>18</v>
      </c>
    </row>
    <row r="165" spans="1:6" x14ac:dyDescent="0.25">
      <c r="A165">
        <v>123</v>
      </c>
      <c r="B165">
        <v>26</v>
      </c>
      <c r="C165">
        <v>8.6999999999999993</v>
      </c>
      <c r="D165">
        <v>2015</v>
      </c>
      <c r="E165" s="9">
        <v>42202</v>
      </c>
      <c r="F165" t="s">
        <v>18</v>
      </c>
    </row>
    <row r="166" spans="1:6" x14ac:dyDescent="0.25">
      <c r="A166">
        <v>121.07</v>
      </c>
      <c r="B166">
        <v>27</v>
      </c>
      <c r="C166">
        <v>10.1</v>
      </c>
      <c r="D166">
        <v>2015</v>
      </c>
      <c r="E166" s="9">
        <v>42205</v>
      </c>
      <c r="F166" t="s">
        <v>18</v>
      </c>
    </row>
    <row r="167" spans="1:6" x14ac:dyDescent="0.25">
      <c r="A167">
        <v>121.07</v>
      </c>
      <c r="B167">
        <v>28</v>
      </c>
      <c r="C167">
        <v>6.4</v>
      </c>
      <c r="D167">
        <v>2015</v>
      </c>
      <c r="E167" s="9">
        <v>42205</v>
      </c>
      <c r="F167" t="s">
        <v>18</v>
      </c>
    </row>
    <row r="168" spans="1:6" x14ac:dyDescent="0.25">
      <c r="A168">
        <v>121.07</v>
      </c>
      <c r="B168">
        <v>29</v>
      </c>
      <c r="C168">
        <v>10</v>
      </c>
      <c r="D168">
        <v>2015</v>
      </c>
      <c r="E168" s="9">
        <v>42205</v>
      </c>
      <c r="F168" t="s">
        <v>18</v>
      </c>
    </row>
    <row r="169" spans="1:6" x14ac:dyDescent="0.25">
      <c r="A169">
        <v>121.07</v>
      </c>
      <c r="B169">
        <v>30</v>
      </c>
      <c r="C169">
        <v>25.2</v>
      </c>
      <c r="D169">
        <v>2015</v>
      </c>
      <c r="E169" s="9">
        <v>42205</v>
      </c>
      <c r="F169" t="s">
        <v>18</v>
      </c>
    </row>
    <row r="170" spans="1:6" x14ac:dyDescent="0.25">
      <c r="A170">
        <v>121.07</v>
      </c>
      <c r="B170">
        <v>31</v>
      </c>
      <c r="C170">
        <v>122.8</v>
      </c>
      <c r="D170">
        <v>2015</v>
      </c>
      <c r="E170" s="9">
        <v>42205</v>
      </c>
      <c r="F170" t="s">
        <v>18</v>
      </c>
    </row>
    <row r="171" spans="1:6" x14ac:dyDescent="0.25">
      <c r="A171">
        <v>121.07</v>
      </c>
      <c r="B171">
        <v>32</v>
      </c>
      <c r="C171">
        <v>32.299999999999997</v>
      </c>
      <c r="D171">
        <v>2015</v>
      </c>
      <c r="E171" s="9">
        <v>42205</v>
      </c>
      <c r="F171" t="s">
        <v>18</v>
      </c>
    </row>
    <row r="172" spans="1:6" x14ac:dyDescent="0.25">
      <c r="A172">
        <v>121.07</v>
      </c>
      <c r="B172">
        <v>33</v>
      </c>
      <c r="C172">
        <v>6.3</v>
      </c>
      <c r="D172">
        <v>2015</v>
      </c>
      <c r="E172" s="9">
        <v>42205</v>
      </c>
      <c r="F172" t="s">
        <v>18</v>
      </c>
    </row>
    <row r="173" spans="1:6" x14ac:dyDescent="0.25">
      <c r="A173">
        <v>121.07</v>
      </c>
      <c r="B173">
        <v>34</v>
      </c>
      <c r="C173">
        <v>1.5</v>
      </c>
      <c r="D173">
        <v>2015</v>
      </c>
      <c r="E173" s="9">
        <v>42205</v>
      </c>
      <c r="F173" t="s">
        <v>18</v>
      </c>
    </row>
    <row r="174" spans="1:6" x14ac:dyDescent="0.25">
      <c r="A174">
        <v>121.07</v>
      </c>
      <c r="B174">
        <v>35</v>
      </c>
      <c r="C174">
        <v>2.7</v>
      </c>
      <c r="D174">
        <v>2015</v>
      </c>
      <c r="E174" s="9">
        <v>42205</v>
      </c>
      <c r="F174" t="s">
        <v>18</v>
      </c>
    </row>
    <row r="175" spans="1:6" x14ac:dyDescent="0.25">
      <c r="A175">
        <v>121.07</v>
      </c>
      <c r="B175">
        <v>36</v>
      </c>
      <c r="C175">
        <v>19.8</v>
      </c>
      <c r="D175">
        <v>2015</v>
      </c>
      <c r="E175" s="9">
        <v>42205</v>
      </c>
      <c r="F175" t="s">
        <v>18</v>
      </c>
    </row>
    <row r="176" spans="1:6" x14ac:dyDescent="0.25">
      <c r="A176">
        <v>121.07</v>
      </c>
      <c r="B176">
        <v>37</v>
      </c>
      <c r="C176">
        <v>1.6</v>
      </c>
      <c r="D176">
        <v>2015</v>
      </c>
      <c r="E176" s="9">
        <v>42205</v>
      </c>
      <c r="F176" t="s">
        <v>18</v>
      </c>
    </row>
    <row r="177" spans="1:6" x14ac:dyDescent="0.25">
      <c r="A177">
        <v>115.69</v>
      </c>
      <c r="B177">
        <v>38</v>
      </c>
      <c r="C177">
        <v>1.7</v>
      </c>
      <c r="D177">
        <v>2015</v>
      </c>
      <c r="E177" s="9">
        <v>42202</v>
      </c>
      <c r="F177" t="s">
        <v>18</v>
      </c>
    </row>
    <row r="178" spans="1:6" x14ac:dyDescent="0.25">
      <c r="A178">
        <v>115.69</v>
      </c>
      <c r="B178">
        <v>39</v>
      </c>
      <c r="C178">
        <v>3.4</v>
      </c>
      <c r="D178">
        <v>2015</v>
      </c>
      <c r="E178" s="9">
        <v>42202</v>
      </c>
      <c r="F178" t="s">
        <v>18</v>
      </c>
    </row>
    <row r="179" spans="1:6" x14ac:dyDescent="0.25">
      <c r="A179">
        <v>115.69</v>
      </c>
      <c r="B179">
        <v>40</v>
      </c>
      <c r="C179">
        <v>1.8</v>
      </c>
      <c r="D179">
        <v>2015</v>
      </c>
      <c r="E179" s="9">
        <v>42202</v>
      </c>
      <c r="F179" t="s">
        <v>18</v>
      </c>
    </row>
    <row r="180" spans="1:6" x14ac:dyDescent="0.25">
      <c r="A180">
        <v>115.69</v>
      </c>
      <c r="B180">
        <v>41</v>
      </c>
      <c r="C180">
        <v>1</v>
      </c>
      <c r="D180">
        <v>2015</v>
      </c>
      <c r="E180" s="9">
        <v>42202</v>
      </c>
      <c r="F180" t="s">
        <v>18</v>
      </c>
    </row>
    <row r="181" spans="1:6" x14ac:dyDescent="0.25">
      <c r="A181">
        <v>115.69</v>
      </c>
      <c r="B181">
        <v>42</v>
      </c>
      <c r="C181">
        <v>11.9</v>
      </c>
      <c r="D181">
        <v>2015</v>
      </c>
      <c r="E181" s="9">
        <v>42202</v>
      </c>
      <c r="F181" t="s">
        <v>18</v>
      </c>
    </row>
    <row r="182" spans="1:6" x14ac:dyDescent="0.25">
      <c r="A182">
        <v>115.69</v>
      </c>
      <c r="B182">
        <v>43</v>
      </c>
      <c r="C182">
        <v>4.9000000000000004</v>
      </c>
      <c r="D182">
        <v>2015</v>
      </c>
      <c r="E182" s="9">
        <v>42202</v>
      </c>
      <c r="F182" t="s">
        <v>18</v>
      </c>
    </row>
    <row r="183" spans="1:6" x14ac:dyDescent="0.25">
      <c r="A183">
        <v>115.69</v>
      </c>
      <c r="B183">
        <v>44</v>
      </c>
      <c r="C183">
        <v>52.2</v>
      </c>
      <c r="D183">
        <v>2015</v>
      </c>
      <c r="E183" s="9">
        <v>42202</v>
      </c>
      <c r="F183" t="s">
        <v>18</v>
      </c>
    </row>
    <row r="184" spans="1:6" x14ac:dyDescent="0.25">
      <c r="A184">
        <v>115.69</v>
      </c>
      <c r="B184">
        <v>45</v>
      </c>
      <c r="C184">
        <v>57.3</v>
      </c>
      <c r="D184">
        <v>2015</v>
      </c>
      <c r="E184" s="9">
        <v>42202</v>
      </c>
      <c r="F184" t="s">
        <v>18</v>
      </c>
    </row>
    <row r="185" spans="1:6" x14ac:dyDescent="0.25">
      <c r="A185">
        <v>115.69</v>
      </c>
      <c r="B185">
        <v>46</v>
      </c>
      <c r="C185">
        <v>8.8000000000000007</v>
      </c>
      <c r="D185">
        <v>2015</v>
      </c>
      <c r="E185" s="9">
        <v>42202</v>
      </c>
      <c r="F185" t="s">
        <v>18</v>
      </c>
    </row>
    <row r="186" spans="1:6" x14ac:dyDescent="0.25">
      <c r="A186">
        <v>115.69</v>
      </c>
      <c r="B186">
        <v>47</v>
      </c>
      <c r="C186">
        <v>99.6</v>
      </c>
      <c r="D186">
        <v>2015</v>
      </c>
      <c r="E186" s="9">
        <v>42202</v>
      </c>
      <c r="F186" t="s">
        <v>18</v>
      </c>
    </row>
    <row r="187" spans="1:6" x14ac:dyDescent="0.25">
      <c r="A187">
        <v>115.69</v>
      </c>
      <c r="B187">
        <v>48</v>
      </c>
      <c r="C187">
        <v>11.7</v>
      </c>
      <c r="D187">
        <v>2015</v>
      </c>
      <c r="E187" s="9">
        <v>42202</v>
      </c>
      <c r="F187" t="s">
        <v>18</v>
      </c>
    </row>
    <row r="188" spans="1:6" x14ac:dyDescent="0.25">
      <c r="A188">
        <v>115.69</v>
      </c>
      <c r="B188">
        <v>49</v>
      </c>
      <c r="C188">
        <v>50.6</v>
      </c>
      <c r="D188">
        <v>2015</v>
      </c>
      <c r="E188" s="9">
        <v>42202</v>
      </c>
      <c r="F188" t="s">
        <v>18</v>
      </c>
    </row>
    <row r="189" spans="1:6" x14ac:dyDescent="0.25">
      <c r="A189">
        <v>115.69</v>
      </c>
      <c r="B189">
        <v>50</v>
      </c>
      <c r="C189">
        <v>23.7</v>
      </c>
      <c r="D189">
        <v>2015</v>
      </c>
      <c r="E189" s="9">
        <v>42202</v>
      </c>
      <c r="F189" t="s">
        <v>18</v>
      </c>
    </row>
    <row r="190" spans="1:6" x14ac:dyDescent="0.25">
      <c r="A190">
        <v>115.69</v>
      </c>
      <c r="B190">
        <v>51</v>
      </c>
      <c r="C190">
        <v>8.9</v>
      </c>
      <c r="D190">
        <v>2015</v>
      </c>
      <c r="E190" s="9">
        <v>42202</v>
      </c>
      <c r="F190" t="s">
        <v>18</v>
      </c>
    </row>
    <row r="191" spans="1:6" x14ac:dyDescent="0.25">
      <c r="A191">
        <v>115.69</v>
      </c>
      <c r="B191">
        <v>52</v>
      </c>
      <c r="C191">
        <v>9</v>
      </c>
      <c r="D191">
        <v>2015</v>
      </c>
      <c r="E191" s="9">
        <v>42202</v>
      </c>
      <c r="F191" t="s">
        <v>18</v>
      </c>
    </row>
    <row r="192" spans="1:6" x14ac:dyDescent="0.25">
      <c r="A192">
        <v>115.69</v>
      </c>
      <c r="B192">
        <v>53</v>
      </c>
      <c r="C192">
        <v>1.9</v>
      </c>
      <c r="D192">
        <v>2015</v>
      </c>
      <c r="E192" s="9">
        <v>42202</v>
      </c>
      <c r="F192" t="s">
        <v>18</v>
      </c>
    </row>
    <row r="193" spans="1:6" x14ac:dyDescent="0.25">
      <c r="A193">
        <v>115.69</v>
      </c>
      <c r="B193">
        <v>54</v>
      </c>
      <c r="C193">
        <v>73.2</v>
      </c>
      <c r="D193">
        <v>2015</v>
      </c>
      <c r="E193" s="9">
        <v>42202</v>
      </c>
      <c r="F193" t="s">
        <v>18</v>
      </c>
    </row>
    <row r="194" spans="1:6" x14ac:dyDescent="0.25">
      <c r="A194">
        <v>115.69</v>
      </c>
      <c r="B194">
        <v>55</v>
      </c>
      <c r="C194">
        <v>1.7</v>
      </c>
      <c r="D194">
        <v>2015</v>
      </c>
      <c r="E194" s="9">
        <v>42202</v>
      </c>
      <c r="F194" t="s">
        <v>18</v>
      </c>
    </row>
    <row r="195" spans="1:6" x14ac:dyDescent="0.25">
      <c r="A195">
        <v>115.69</v>
      </c>
      <c r="B195">
        <v>56</v>
      </c>
      <c r="C195">
        <v>1.3</v>
      </c>
      <c r="D195">
        <v>2015</v>
      </c>
      <c r="E195" s="9">
        <v>42202</v>
      </c>
      <c r="F195" t="s">
        <v>18</v>
      </c>
    </row>
    <row r="196" spans="1:6" x14ac:dyDescent="0.25">
      <c r="A196">
        <v>115.69</v>
      </c>
      <c r="B196">
        <v>57</v>
      </c>
      <c r="C196">
        <v>11.1</v>
      </c>
      <c r="D196">
        <v>2015</v>
      </c>
      <c r="E196" s="9">
        <v>42202</v>
      </c>
      <c r="F196" t="s">
        <v>18</v>
      </c>
    </row>
    <row r="197" spans="1:6" x14ac:dyDescent="0.25">
      <c r="A197">
        <v>115.69</v>
      </c>
      <c r="B197">
        <v>58</v>
      </c>
      <c r="C197">
        <v>43.6</v>
      </c>
      <c r="D197">
        <v>2015</v>
      </c>
      <c r="E197" s="9">
        <v>42202</v>
      </c>
      <c r="F197" t="s">
        <v>18</v>
      </c>
    </row>
    <row r="198" spans="1:6" x14ac:dyDescent="0.25">
      <c r="A198">
        <v>115.69</v>
      </c>
      <c r="B198">
        <v>59</v>
      </c>
      <c r="C198">
        <v>140.69999999999999</v>
      </c>
      <c r="D198">
        <v>2015</v>
      </c>
      <c r="E198" s="9">
        <v>42202</v>
      </c>
      <c r="F198" t="s">
        <v>18</v>
      </c>
    </row>
    <row r="199" spans="1:6" x14ac:dyDescent="0.25">
      <c r="A199">
        <v>115.69</v>
      </c>
      <c r="B199">
        <v>60</v>
      </c>
      <c r="C199">
        <v>18.100000000000001</v>
      </c>
      <c r="D199">
        <v>2015</v>
      </c>
      <c r="E199" s="9">
        <v>42202</v>
      </c>
      <c r="F199" t="s">
        <v>18</v>
      </c>
    </row>
    <row r="200" spans="1:6" x14ac:dyDescent="0.25">
      <c r="A200">
        <v>115.69</v>
      </c>
      <c r="B200">
        <v>61</v>
      </c>
      <c r="C200">
        <v>78</v>
      </c>
      <c r="D200">
        <v>2015</v>
      </c>
      <c r="E200" s="9">
        <v>42202</v>
      </c>
      <c r="F200" t="s">
        <v>18</v>
      </c>
    </row>
    <row r="201" spans="1:6" x14ac:dyDescent="0.25">
      <c r="A201">
        <v>115.69</v>
      </c>
      <c r="B201">
        <v>62</v>
      </c>
      <c r="C201">
        <v>72.099999999999994</v>
      </c>
      <c r="D201">
        <v>2015</v>
      </c>
      <c r="E201" s="9">
        <v>42202</v>
      </c>
      <c r="F201" t="s">
        <v>18</v>
      </c>
    </row>
    <row r="202" spans="1:6" x14ac:dyDescent="0.25">
      <c r="A202">
        <v>115.69</v>
      </c>
      <c r="B202">
        <v>63</v>
      </c>
      <c r="C202">
        <v>11.3</v>
      </c>
      <c r="D202">
        <v>2015</v>
      </c>
      <c r="E202" s="9">
        <v>42202</v>
      </c>
      <c r="F202" t="s">
        <v>18</v>
      </c>
    </row>
    <row r="203" spans="1:6" x14ac:dyDescent="0.25">
      <c r="A203">
        <v>115.69</v>
      </c>
      <c r="B203">
        <v>64</v>
      </c>
      <c r="C203">
        <v>38.4</v>
      </c>
      <c r="D203">
        <v>2015</v>
      </c>
      <c r="E203" s="9">
        <v>42202</v>
      </c>
      <c r="F203" t="s">
        <v>18</v>
      </c>
    </row>
    <row r="204" spans="1:6" x14ac:dyDescent="0.25">
      <c r="A204">
        <v>115.69</v>
      </c>
      <c r="B204">
        <v>65</v>
      </c>
      <c r="C204">
        <v>11.1</v>
      </c>
      <c r="D204">
        <v>2015</v>
      </c>
      <c r="E204" s="9">
        <v>42202</v>
      </c>
      <c r="F204" t="s">
        <v>18</v>
      </c>
    </row>
    <row r="205" spans="1:6" x14ac:dyDescent="0.25">
      <c r="A205">
        <v>115.69</v>
      </c>
      <c r="B205">
        <v>66</v>
      </c>
      <c r="C205">
        <v>1.5</v>
      </c>
      <c r="D205">
        <v>2015</v>
      </c>
      <c r="E205" s="9">
        <v>42202</v>
      </c>
      <c r="F205" t="s">
        <v>18</v>
      </c>
    </row>
    <row r="206" spans="1:6" x14ac:dyDescent="0.25">
      <c r="A206">
        <v>115.69</v>
      </c>
      <c r="B206">
        <v>67</v>
      </c>
      <c r="C206">
        <v>14.8</v>
      </c>
      <c r="D206">
        <v>2015</v>
      </c>
      <c r="E206" s="9">
        <v>42202</v>
      </c>
      <c r="F206" t="s">
        <v>18</v>
      </c>
    </row>
    <row r="207" spans="1:6" x14ac:dyDescent="0.25">
      <c r="A207">
        <v>115.69</v>
      </c>
      <c r="B207">
        <v>68</v>
      </c>
      <c r="C207">
        <v>18.2</v>
      </c>
      <c r="D207">
        <v>2015</v>
      </c>
      <c r="E207" s="9">
        <v>42202</v>
      </c>
      <c r="F207" t="s">
        <v>18</v>
      </c>
    </row>
    <row r="208" spans="1:6" x14ac:dyDescent="0.25">
      <c r="A208">
        <v>115.69</v>
      </c>
      <c r="B208">
        <v>69</v>
      </c>
      <c r="C208">
        <v>3</v>
      </c>
      <c r="D208">
        <v>2015</v>
      </c>
      <c r="E208" s="9">
        <v>42202</v>
      </c>
      <c r="F208" t="s">
        <v>18</v>
      </c>
    </row>
    <row r="209" spans="1:6" x14ac:dyDescent="0.25">
      <c r="A209">
        <v>115.69</v>
      </c>
      <c r="B209">
        <v>70</v>
      </c>
      <c r="C209">
        <v>90.2</v>
      </c>
      <c r="D209">
        <v>2015</v>
      </c>
      <c r="E209" s="9">
        <v>42202</v>
      </c>
      <c r="F209" t="s">
        <v>18</v>
      </c>
    </row>
    <row r="210" spans="1:6" x14ac:dyDescent="0.25">
      <c r="A210">
        <v>115.69</v>
      </c>
      <c r="B210">
        <v>71</v>
      </c>
      <c r="C210">
        <v>11.4</v>
      </c>
      <c r="D210">
        <v>2015</v>
      </c>
      <c r="E210" s="9">
        <v>42202</v>
      </c>
      <c r="F210" t="s">
        <v>18</v>
      </c>
    </row>
    <row r="211" spans="1:6" x14ac:dyDescent="0.25">
      <c r="A211">
        <v>115.69</v>
      </c>
      <c r="B211">
        <v>72</v>
      </c>
      <c r="C211">
        <v>8.6</v>
      </c>
      <c r="D211">
        <v>2015</v>
      </c>
      <c r="E211" s="9">
        <v>42202</v>
      </c>
      <c r="F211" t="s">
        <v>18</v>
      </c>
    </row>
    <row r="212" spans="1:6" x14ac:dyDescent="0.25">
      <c r="A212">
        <v>115.69</v>
      </c>
      <c r="B212">
        <v>73</v>
      </c>
      <c r="C212">
        <v>0.5</v>
      </c>
      <c r="D212">
        <v>2015</v>
      </c>
      <c r="E212" s="9">
        <v>42202</v>
      </c>
      <c r="F212" t="s">
        <v>18</v>
      </c>
    </row>
    <row r="213" spans="1:6" x14ac:dyDescent="0.25">
      <c r="A213">
        <v>115.69</v>
      </c>
      <c r="B213">
        <v>74</v>
      </c>
      <c r="C213">
        <v>10.5</v>
      </c>
      <c r="D213">
        <v>2015</v>
      </c>
      <c r="E213" s="9">
        <v>42202</v>
      </c>
      <c r="F213" t="s">
        <v>18</v>
      </c>
    </row>
    <row r="214" spans="1:6" x14ac:dyDescent="0.25">
      <c r="A214">
        <v>115.69</v>
      </c>
      <c r="B214">
        <v>75</v>
      </c>
      <c r="C214">
        <v>4.7</v>
      </c>
      <c r="D214">
        <v>2015</v>
      </c>
      <c r="E214" s="9">
        <v>42202</v>
      </c>
      <c r="F214" t="s">
        <v>18</v>
      </c>
    </row>
    <row r="215" spans="1:6" x14ac:dyDescent="0.25">
      <c r="A215">
        <v>115.69</v>
      </c>
      <c r="B215">
        <v>76</v>
      </c>
      <c r="C215">
        <v>42.6</v>
      </c>
      <c r="D215">
        <v>2015</v>
      </c>
      <c r="E215" s="9">
        <v>42202</v>
      </c>
      <c r="F215" t="s">
        <v>18</v>
      </c>
    </row>
    <row r="216" spans="1:6" x14ac:dyDescent="0.25">
      <c r="A216">
        <v>115.69</v>
      </c>
      <c r="B216">
        <v>77</v>
      </c>
      <c r="C216">
        <v>3.1</v>
      </c>
      <c r="D216">
        <v>2015</v>
      </c>
      <c r="E216" s="9">
        <v>42202</v>
      </c>
      <c r="F216" t="s">
        <v>18</v>
      </c>
    </row>
    <row r="217" spans="1:6" x14ac:dyDescent="0.25">
      <c r="A217">
        <v>115.69</v>
      </c>
      <c r="B217">
        <v>78</v>
      </c>
      <c r="C217">
        <v>1.4</v>
      </c>
      <c r="D217">
        <v>2015</v>
      </c>
      <c r="E217" s="9">
        <v>42202</v>
      </c>
      <c r="F217" t="s">
        <v>18</v>
      </c>
    </row>
    <row r="218" spans="1:6" x14ac:dyDescent="0.25">
      <c r="A218">
        <v>115.69</v>
      </c>
      <c r="B218">
        <v>79</v>
      </c>
      <c r="C218">
        <v>9.1</v>
      </c>
      <c r="D218">
        <v>2015</v>
      </c>
      <c r="E218" s="9">
        <v>42202</v>
      </c>
      <c r="F218" t="s">
        <v>18</v>
      </c>
    </row>
    <row r="219" spans="1:6" x14ac:dyDescent="0.25">
      <c r="A219">
        <v>114.35</v>
      </c>
      <c r="B219">
        <v>80</v>
      </c>
      <c r="C219">
        <v>15.6</v>
      </c>
      <c r="D219">
        <v>2015</v>
      </c>
      <c r="E219" s="9">
        <v>42202</v>
      </c>
      <c r="F219" t="s">
        <v>18</v>
      </c>
    </row>
    <row r="220" spans="1:6" x14ac:dyDescent="0.25">
      <c r="A220">
        <v>114.35</v>
      </c>
      <c r="B220">
        <v>81</v>
      </c>
      <c r="C220">
        <v>24.5</v>
      </c>
      <c r="D220">
        <v>2015</v>
      </c>
      <c r="E220" s="9">
        <v>42202</v>
      </c>
      <c r="F220" t="s">
        <v>18</v>
      </c>
    </row>
    <row r="221" spans="1:6" x14ac:dyDescent="0.25">
      <c r="A221">
        <v>114.35</v>
      </c>
      <c r="B221">
        <v>82</v>
      </c>
      <c r="C221">
        <v>3.9</v>
      </c>
      <c r="D221">
        <v>2015</v>
      </c>
      <c r="E221" s="9">
        <v>42202</v>
      </c>
      <c r="F221" t="s">
        <v>18</v>
      </c>
    </row>
    <row r="222" spans="1:6" x14ac:dyDescent="0.25">
      <c r="A222">
        <v>114.35</v>
      </c>
      <c r="B222">
        <v>83</v>
      </c>
      <c r="C222">
        <v>23.7</v>
      </c>
      <c r="D222">
        <v>2015</v>
      </c>
      <c r="E222" s="9">
        <v>42202</v>
      </c>
      <c r="F222" t="s">
        <v>18</v>
      </c>
    </row>
    <row r="223" spans="1:6" x14ac:dyDescent="0.25">
      <c r="A223">
        <v>114.35</v>
      </c>
      <c r="B223">
        <v>84</v>
      </c>
      <c r="C223">
        <v>10.7</v>
      </c>
      <c r="D223">
        <v>2015</v>
      </c>
      <c r="E223" s="9">
        <v>42202</v>
      </c>
      <c r="F223" t="s">
        <v>18</v>
      </c>
    </row>
    <row r="224" spans="1:6" x14ac:dyDescent="0.25">
      <c r="A224">
        <v>114.35</v>
      </c>
      <c r="B224">
        <v>85</v>
      </c>
      <c r="C224">
        <v>9.1</v>
      </c>
      <c r="D224">
        <v>2015</v>
      </c>
      <c r="E224" s="9">
        <v>42202</v>
      </c>
      <c r="F224" t="s">
        <v>18</v>
      </c>
    </row>
    <row r="225" spans="1:6" x14ac:dyDescent="0.25">
      <c r="A225">
        <v>114.35</v>
      </c>
      <c r="B225">
        <v>86</v>
      </c>
      <c r="C225">
        <v>28.6</v>
      </c>
      <c r="D225">
        <v>2015</v>
      </c>
      <c r="E225" s="9">
        <v>42202</v>
      </c>
      <c r="F225" t="s">
        <v>18</v>
      </c>
    </row>
    <row r="226" spans="1:6" x14ac:dyDescent="0.25">
      <c r="A226">
        <v>114.35</v>
      </c>
      <c r="B226">
        <v>87</v>
      </c>
      <c r="C226">
        <v>7.4</v>
      </c>
      <c r="D226">
        <v>2015</v>
      </c>
      <c r="E226" s="9">
        <v>42202</v>
      </c>
      <c r="F226" t="s">
        <v>18</v>
      </c>
    </row>
    <row r="227" spans="1:6" x14ac:dyDescent="0.25">
      <c r="A227">
        <v>114.35</v>
      </c>
      <c r="B227">
        <v>88</v>
      </c>
      <c r="C227">
        <v>35.1</v>
      </c>
      <c r="D227">
        <v>2015</v>
      </c>
      <c r="E227" s="9">
        <v>42202</v>
      </c>
      <c r="F227" t="s">
        <v>18</v>
      </c>
    </row>
    <row r="228" spans="1:6" x14ac:dyDescent="0.25">
      <c r="A228">
        <v>114.35</v>
      </c>
      <c r="B228">
        <v>89</v>
      </c>
      <c r="C228">
        <v>2.6</v>
      </c>
      <c r="D228">
        <v>2015</v>
      </c>
      <c r="E228" s="9">
        <v>42202</v>
      </c>
      <c r="F228" t="s">
        <v>18</v>
      </c>
    </row>
    <row r="229" spans="1:6" x14ac:dyDescent="0.25">
      <c r="A229">
        <v>114.35</v>
      </c>
      <c r="B229">
        <v>90</v>
      </c>
      <c r="C229">
        <v>5</v>
      </c>
      <c r="D229">
        <v>2015</v>
      </c>
      <c r="E229" s="9">
        <v>42202</v>
      </c>
      <c r="F229" t="s">
        <v>18</v>
      </c>
    </row>
    <row r="230" spans="1:6" x14ac:dyDescent="0.25">
      <c r="A230">
        <v>114.35</v>
      </c>
      <c r="B230">
        <v>91</v>
      </c>
      <c r="C230">
        <v>1.2</v>
      </c>
      <c r="D230">
        <v>2015</v>
      </c>
      <c r="E230" s="9">
        <v>42202</v>
      </c>
      <c r="F230" t="s">
        <v>18</v>
      </c>
    </row>
    <row r="231" spans="1:6" x14ac:dyDescent="0.25">
      <c r="A231">
        <v>114.35</v>
      </c>
      <c r="B231">
        <v>92</v>
      </c>
      <c r="C231">
        <v>21.4</v>
      </c>
      <c r="D231">
        <v>2015</v>
      </c>
      <c r="E231" s="9">
        <v>42202</v>
      </c>
      <c r="F231" t="s">
        <v>18</v>
      </c>
    </row>
    <row r="232" spans="1:6" x14ac:dyDescent="0.25">
      <c r="A232">
        <v>114.35</v>
      </c>
      <c r="B232">
        <v>93</v>
      </c>
      <c r="C232">
        <v>27</v>
      </c>
      <c r="D232">
        <v>2015</v>
      </c>
      <c r="E232" s="9">
        <v>42202</v>
      </c>
      <c r="F232" t="s">
        <v>18</v>
      </c>
    </row>
    <row r="233" spans="1:6" x14ac:dyDescent="0.25">
      <c r="A233">
        <v>114.35</v>
      </c>
      <c r="B233">
        <v>94</v>
      </c>
      <c r="C233">
        <v>42.2</v>
      </c>
      <c r="D233">
        <v>2015</v>
      </c>
      <c r="E233" s="9">
        <v>42202</v>
      </c>
      <c r="F233" t="s">
        <v>18</v>
      </c>
    </row>
    <row r="234" spans="1:6" x14ac:dyDescent="0.25">
      <c r="A234">
        <v>114.35</v>
      </c>
      <c r="B234">
        <v>95</v>
      </c>
      <c r="C234">
        <v>1.5</v>
      </c>
      <c r="D234">
        <v>2015</v>
      </c>
      <c r="E234" s="9">
        <v>42202</v>
      </c>
      <c r="F234" t="s">
        <v>18</v>
      </c>
    </row>
    <row r="235" spans="1:6" x14ac:dyDescent="0.25">
      <c r="A235">
        <v>114.35</v>
      </c>
      <c r="B235">
        <v>96</v>
      </c>
      <c r="C235">
        <v>3.6</v>
      </c>
      <c r="D235">
        <v>2015</v>
      </c>
      <c r="E235" s="9">
        <v>42202</v>
      </c>
      <c r="F235" t="s">
        <v>18</v>
      </c>
    </row>
    <row r="236" spans="1:6" x14ac:dyDescent="0.25">
      <c r="A236">
        <v>114.35</v>
      </c>
      <c r="B236">
        <v>97</v>
      </c>
      <c r="C236">
        <v>54.2</v>
      </c>
      <c r="D236">
        <v>2015</v>
      </c>
      <c r="E236" s="9">
        <v>42202</v>
      </c>
      <c r="F236" t="s">
        <v>18</v>
      </c>
    </row>
    <row r="237" spans="1:6" x14ac:dyDescent="0.25">
      <c r="A237">
        <v>114.35</v>
      </c>
      <c r="B237">
        <v>98</v>
      </c>
      <c r="C237">
        <v>2.4</v>
      </c>
      <c r="D237">
        <v>2015</v>
      </c>
      <c r="E237" s="9">
        <v>42202</v>
      </c>
      <c r="F237" t="s">
        <v>18</v>
      </c>
    </row>
    <row r="238" spans="1:6" x14ac:dyDescent="0.25">
      <c r="A238">
        <v>114.35</v>
      </c>
      <c r="B238">
        <v>99</v>
      </c>
      <c r="C238">
        <v>1.5</v>
      </c>
      <c r="D238">
        <v>2015</v>
      </c>
      <c r="E238" s="9">
        <v>42202</v>
      </c>
      <c r="F238" t="s">
        <v>18</v>
      </c>
    </row>
    <row r="239" spans="1:6" x14ac:dyDescent="0.25">
      <c r="A239">
        <v>114.35</v>
      </c>
      <c r="B239">
        <v>100</v>
      </c>
      <c r="C239">
        <v>33</v>
      </c>
      <c r="D239">
        <v>2015</v>
      </c>
      <c r="E239" s="9">
        <v>42202</v>
      </c>
      <c r="F239" t="s">
        <v>18</v>
      </c>
    </row>
    <row r="240" spans="1:6" x14ac:dyDescent="0.25">
      <c r="A240">
        <v>114.35</v>
      </c>
      <c r="B240">
        <v>101</v>
      </c>
      <c r="C240">
        <v>77.900000000000006</v>
      </c>
      <c r="D240">
        <v>2015</v>
      </c>
      <c r="E240" s="9">
        <v>42202</v>
      </c>
      <c r="F240" t="s">
        <v>18</v>
      </c>
    </row>
    <row r="241" spans="1:6" x14ac:dyDescent="0.25">
      <c r="A241">
        <v>114.35</v>
      </c>
      <c r="B241">
        <v>102</v>
      </c>
      <c r="C241">
        <v>10.1</v>
      </c>
      <c r="D241">
        <v>2015</v>
      </c>
      <c r="E241" s="9">
        <v>42202</v>
      </c>
      <c r="F241" t="s">
        <v>18</v>
      </c>
    </row>
    <row r="242" spans="1:6" x14ac:dyDescent="0.25">
      <c r="A242">
        <v>114.35</v>
      </c>
      <c r="B242">
        <v>103</v>
      </c>
      <c r="C242">
        <v>4.2</v>
      </c>
      <c r="D242">
        <v>2015</v>
      </c>
      <c r="E242" s="9">
        <v>42202</v>
      </c>
      <c r="F242" t="s">
        <v>18</v>
      </c>
    </row>
    <row r="243" spans="1:6" x14ac:dyDescent="0.25">
      <c r="A243">
        <v>114.35</v>
      </c>
      <c r="B243">
        <v>104</v>
      </c>
      <c r="C243">
        <v>61.7</v>
      </c>
      <c r="D243">
        <v>2015</v>
      </c>
      <c r="E243" s="9">
        <v>42202</v>
      </c>
      <c r="F243" t="s">
        <v>18</v>
      </c>
    </row>
    <row r="244" spans="1:6" x14ac:dyDescent="0.25">
      <c r="A244">
        <v>114.35</v>
      </c>
      <c r="B244">
        <v>105</v>
      </c>
      <c r="C244">
        <v>1.2</v>
      </c>
      <c r="D244">
        <v>2015</v>
      </c>
      <c r="E244" s="9">
        <v>42202</v>
      </c>
      <c r="F244" t="s">
        <v>18</v>
      </c>
    </row>
    <row r="245" spans="1:6" x14ac:dyDescent="0.25">
      <c r="A245">
        <v>114.35</v>
      </c>
      <c r="B245">
        <v>106</v>
      </c>
      <c r="C245">
        <v>4</v>
      </c>
      <c r="D245">
        <v>2015</v>
      </c>
      <c r="E245" s="9">
        <v>42202</v>
      </c>
      <c r="F245" t="s">
        <v>18</v>
      </c>
    </row>
    <row r="246" spans="1:6" x14ac:dyDescent="0.25">
      <c r="A246">
        <v>114.35</v>
      </c>
      <c r="B246">
        <v>107</v>
      </c>
      <c r="C246">
        <v>6.3</v>
      </c>
      <c r="D246">
        <v>2015</v>
      </c>
      <c r="E246" s="9">
        <v>42202</v>
      </c>
      <c r="F246" t="s">
        <v>18</v>
      </c>
    </row>
    <row r="247" spans="1:6" x14ac:dyDescent="0.25">
      <c r="A247">
        <v>114.35</v>
      </c>
      <c r="B247">
        <v>108</v>
      </c>
      <c r="C247">
        <v>4.0999999999999996</v>
      </c>
      <c r="D247">
        <v>2015</v>
      </c>
      <c r="E247" s="9">
        <v>42202</v>
      </c>
      <c r="F247" t="s">
        <v>18</v>
      </c>
    </row>
    <row r="248" spans="1:6" x14ac:dyDescent="0.25">
      <c r="A248">
        <v>114.35</v>
      </c>
      <c r="B248">
        <v>109</v>
      </c>
      <c r="C248">
        <v>4.5</v>
      </c>
      <c r="D248">
        <v>2015</v>
      </c>
      <c r="E248" s="9">
        <v>42202</v>
      </c>
      <c r="F248" t="s">
        <v>18</v>
      </c>
    </row>
    <row r="249" spans="1:6" x14ac:dyDescent="0.25">
      <c r="A249">
        <v>114.35</v>
      </c>
      <c r="B249">
        <v>110</v>
      </c>
      <c r="C249">
        <v>1.1000000000000001</v>
      </c>
      <c r="D249">
        <v>2015</v>
      </c>
      <c r="E249" s="9">
        <v>42202</v>
      </c>
      <c r="F249" t="s">
        <v>18</v>
      </c>
    </row>
    <row r="250" spans="1:6" x14ac:dyDescent="0.25">
      <c r="A250">
        <v>114.35</v>
      </c>
      <c r="B250">
        <v>111</v>
      </c>
      <c r="C250">
        <v>27.3</v>
      </c>
      <c r="D250">
        <v>2015</v>
      </c>
      <c r="E250" s="9">
        <v>42202</v>
      </c>
      <c r="F250" t="s">
        <v>18</v>
      </c>
    </row>
    <row r="251" spans="1:6" x14ac:dyDescent="0.25">
      <c r="A251">
        <v>114.35</v>
      </c>
      <c r="B251">
        <v>112</v>
      </c>
      <c r="C251">
        <v>1.3</v>
      </c>
      <c r="D251">
        <v>2015</v>
      </c>
      <c r="E251" s="9">
        <v>42202</v>
      </c>
      <c r="F251" t="s">
        <v>18</v>
      </c>
    </row>
    <row r="252" spans="1:6" x14ac:dyDescent="0.25">
      <c r="A252">
        <v>114.35</v>
      </c>
      <c r="B252">
        <v>113</v>
      </c>
      <c r="C252">
        <v>11.8</v>
      </c>
      <c r="D252">
        <v>2015</v>
      </c>
      <c r="E252" s="9">
        <v>42202</v>
      </c>
      <c r="F252" t="s">
        <v>18</v>
      </c>
    </row>
    <row r="253" spans="1:6" x14ac:dyDescent="0.25">
      <c r="A253">
        <v>114.35</v>
      </c>
      <c r="B253">
        <v>114</v>
      </c>
      <c r="C253">
        <v>11.3</v>
      </c>
      <c r="D253">
        <v>2015</v>
      </c>
      <c r="E253" s="9">
        <v>42202</v>
      </c>
      <c r="F253" t="s">
        <v>18</v>
      </c>
    </row>
    <row r="254" spans="1:6" x14ac:dyDescent="0.25">
      <c r="A254">
        <v>114.35</v>
      </c>
      <c r="B254">
        <v>115</v>
      </c>
      <c r="C254">
        <v>60.3</v>
      </c>
      <c r="D254">
        <v>2015</v>
      </c>
      <c r="E254" s="9">
        <v>42202</v>
      </c>
      <c r="F254" t="s">
        <v>18</v>
      </c>
    </row>
    <row r="255" spans="1:6" x14ac:dyDescent="0.25">
      <c r="A255">
        <v>114.35</v>
      </c>
      <c r="B255">
        <v>116</v>
      </c>
      <c r="C255">
        <v>36.799999999999997</v>
      </c>
      <c r="D255">
        <v>2015</v>
      </c>
      <c r="E255" s="9">
        <v>42202</v>
      </c>
      <c r="F255" t="s">
        <v>18</v>
      </c>
    </row>
    <row r="256" spans="1:6" x14ac:dyDescent="0.25">
      <c r="A256">
        <v>114.35</v>
      </c>
      <c r="B256">
        <v>117</v>
      </c>
      <c r="C256">
        <v>24.5</v>
      </c>
      <c r="D256">
        <v>2015</v>
      </c>
      <c r="E256" s="9">
        <v>42202</v>
      </c>
      <c r="F256" t="s">
        <v>18</v>
      </c>
    </row>
    <row r="257" spans="1:6" x14ac:dyDescent="0.25">
      <c r="A257">
        <v>114.35</v>
      </c>
      <c r="B257">
        <v>118</v>
      </c>
      <c r="C257">
        <v>0.9</v>
      </c>
      <c r="D257">
        <v>2015</v>
      </c>
      <c r="E257" s="9">
        <v>42202</v>
      </c>
      <c r="F257" t="s">
        <v>18</v>
      </c>
    </row>
    <row r="258" spans="1:6" x14ac:dyDescent="0.25">
      <c r="A258">
        <v>114.35</v>
      </c>
      <c r="B258">
        <v>119</v>
      </c>
      <c r="C258">
        <v>5</v>
      </c>
      <c r="D258">
        <v>2015</v>
      </c>
      <c r="E258" s="9">
        <v>42202</v>
      </c>
      <c r="F258" t="s">
        <v>18</v>
      </c>
    </row>
    <row r="259" spans="1:6" x14ac:dyDescent="0.25">
      <c r="A259">
        <v>114.35</v>
      </c>
      <c r="B259">
        <v>120</v>
      </c>
      <c r="C259">
        <v>8.1999999999999993</v>
      </c>
      <c r="D259">
        <v>2015</v>
      </c>
      <c r="E259" s="9">
        <v>42202</v>
      </c>
      <c r="F259" t="s">
        <v>18</v>
      </c>
    </row>
    <row r="260" spans="1:6" x14ac:dyDescent="0.25">
      <c r="A260">
        <v>108.2</v>
      </c>
      <c r="B260">
        <v>121</v>
      </c>
      <c r="C260">
        <v>11.1</v>
      </c>
      <c r="D260">
        <v>2015</v>
      </c>
      <c r="E260" s="9">
        <v>42205</v>
      </c>
      <c r="F260" t="s">
        <v>18</v>
      </c>
    </row>
    <row r="261" spans="1:6" x14ac:dyDescent="0.25">
      <c r="A261">
        <v>108.2</v>
      </c>
      <c r="B261">
        <v>122</v>
      </c>
      <c r="C261">
        <v>50.2</v>
      </c>
      <c r="D261">
        <v>2015</v>
      </c>
      <c r="E261" s="9">
        <v>42205</v>
      </c>
      <c r="F261" t="s">
        <v>18</v>
      </c>
    </row>
    <row r="262" spans="1:6" x14ac:dyDescent="0.25">
      <c r="A262">
        <v>108.2</v>
      </c>
      <c r="B262">
        <v>123</v>
      </c>
      <c r="C262">
        <v>5.0999999999999996</v>
      </c>
      <c r="D262">
        <v>2015</v>
      </c>
      <c r="E262" s="9">
        <v>42205</v>
      </c>
      <c r="F262" t="s">
        <v>18</v>
      </c>
    </row>
    <row r="263" spans="1:6" x14ac:dyDescent="0.25">
      <c r="A263">
        <v>108.2</v>
      </c>
      <c r="B263">
        <v>124</v>
      </c>
      <c r="C263">
        <v>2.5</v>
      </c>
      <c r="D263">
        <v>2015</v>
      </c>
      <c r="E263" s="9">
        <v>42205</v>
      </c>
      <c r="F263" t="s">
        <v>18</v>
      </c>
    </row>
    <row r="264" spans="1:6" x14ac:dyDescent="0.25">
      <c r="A264">
        <v>108.2</v>
      </c>
      <c r="B264">
        <v>125</v>
      </c>
      <c r="C264">
        <v>65.7</v>
      </c>
      <c r="D264">
        <v>2015</v>
      </c>
      <c r="E264" s="9">
        <v>42205</v>
      </c>
      <c r="F264" t="s">
        <v>18</v>
      </c>
    </row>
    <row r="265" spans="1:6" x14ac:dyDescent="0.25">
      <c r="A265">
        <v>108.2</v>
      </c>
      <c r="B265">
        <v>126</v>
      </c>
      <c r="C265">
        <v>1.7</v>
      </c>
      <c r="D265">
        <v>2015</v>
      </c>
      <c r="E265" s="9">
        <v>42205</v>
      </c>
      <c r="F265" t="s">
        <v>18</v>
      </c>
    </row>
    <row r="266" spans="1:6" x14ac:dyDescent="0.25">
      <c r="A266">
        <v>108.2</v>
      </c>
      <c r="B266">
        <v>127</v>
      </c>
      <c r="C266">
        <v>154.1</v>
      </c>
      <c r="D266">
        <v>2015</v>
      </c>
      <c r="E266" s="9">
        <v>42205</v>
      </c>
      <c r="F266" t="s">
        <v>18</v>
      </c>
    </row>
    <row r="267" spans="1:6" x14ac:dyDescent="0.25">
      <c r="A267">
        <v>108.2</v>
      </c>
      <c r="B267">
        <v>128</v>
      </c>
      <c r="C267">
        <v>2.7</v>
      </c>
      <c r="D267">
        <v>2015</v>
      </c>
      <c r="E267" s="9">
        <v>42205</v>
      </c>
      <c r="F267" t="s">
        <v>18</v>
      </c>
    </row>
    <row r="268" spans="1:6" x14ac:dyDescent="0.25">
      <c r="A268">
        <v>108.2</v>
      </c>
      <c r="B268">
        <v>129</v>
      </c>
      <c r="C268">
        <v>9.9</v>
      </c>
      <c r="D268">
        <v>2015</v>
      </c>
      <c r="E268" s="9">
        <v>42205</v>
      </c>
      <c r="F268" t="s">
        <v>18</v>
      </c>
    </row>
    <row r="269" spans="1:6" x14ac:dyDescent="0.25">
      <c r="A269">
        <v>108.2</v>
      </c>
      <c r="B269">
        <v>130</v>
      </c>
      <c r="C269">
        <v>7</v>
      </c>
      <c r="D269">
        <v>2015</v>
      </c>
      <c r="E269" s="9">
        <v>42205</v>
      </c>
      <c r="F269" t="s">
        <v>18</v>
      </c>
    </row>
    <row r="270" spans="1:6" x14ac:dyDescent="0.25">
      <c r="A270">
        <v>108.2</v>
      </c>
      <c r="B270">
        <v>131</v>
      </c>
      <c r="C270">
        <v>4.3</v>
      </c>
      <c r="D270">
        <v>2015</v>
      </c>
      <c r="E270" s="9">
        <v>42205</v>
      </c>
      <c r="F270" t="s">
        <v>18</v>
      </c>
    </row>
    <row r="271" spans="1:6" x14ac:dyDescent="0.25">
      <c r="A271">
        <v>108.2</v>
      </c>
      <c r="B271">
        <v>132</v>
      </c>
      <c r="C271">
        <v>17.100000000000001</v>
      </c>
      <c r="D271">
        <v>2015</v>
      </c>
      <c r="E271" s="9">
        <v>42205</v>
      </c>
      <c r="F271" t="s">
        <v>18</v>
      </c>
    </row>
    <row r="272" spans="1:6" x14ac:dyDescent="0.25">
      <c r="A272">
        <v>108.2</v>
      </c>
      <c r="B272">
        <v>133</v>
      </c>
      <c r="C272">
        <v>2.9</v>
      </c>
      <c r="D272">
        <v>2015</v>
      </c>
      <c r="E272" s="9">
        <v>42205</v>
      </c>
      <c r="F272" t="s">
        <v>18</v>
      </c>
    </row>
    <row r="273" spans="1:6" x14ac:dyDescent="0.25">
      <c r="A273">
        <v>108.2</v>
      </c>
      <c r="B273">
        <v>134</v>
      </c>
      <c r="C273">
        <v>4.4000000000000004</v>
      </c>
      <c r="D273">
        <v>2015</v>
      </c>
      <c r="E273" s="9">
        <v>42205</v>
      </c>
      <c r="F273" t="s">
        <v>18</v>
      </c>
    </row>
    <row r="274" spans="1:6" x14ac:dyDescent="0.25">
      <c r="A274">
        <v>108.2</v>
      </c>
      <c r="B274">
        <v>135</v>
      </c>
      <c r="C274">
        <v>10.8</v>
      </c>
      <c r="D274">
        <v>2015</v>
      </c>
      <c r="E274" s="9">
        <v>42205</v>
      </c>
      <c r="F274" t="s">
        <v>18</v>
      </c>
    </row>
    <row r="275" spans="1:6" x14ac:dyDescent="0.25">
      <c r="A275">
        <v>108.2</v>
      </c>
      <c r="B275">
        <v>136</v>
      </c>
      <c r="C275">
        <v>5</v>
      </c>
      <c r="D275">
        <v>2015</v>
      </c>
      <c r="E275" s="9">
        <v>42205</v>
      </c>
      <c r="F275" t="s">
        <v>18</v>
      </c>
    </row>
    <row r="276" spans="1:6" x14ac:dyDescent="0.25">
      <c r="A276">
        <v>108.2</v>
      </c>
      <c r="B276">
        <v>137</v>
      </c>
      <c r="C276">
        <v>1.6</v>
      </c>
      <c r="D276">
        <v>2015</v>
      </c>
      <c r="E276" s="9">
        <v>42205</v>
      </c>
      <c r="F276" t="s">
        <v>18</v>
      </c>
    </row>
    <row r="277" spans="1:6" x14ac:dyDescent="0.25">
      <c r="A277">
        <v>108.2</v>
      </c>
      <c r="B277">
        <v>138</v>
      </c>
      <c r="C277">
        <v>19.2</v>
      </c>
      <c r="D277">
        <v>2015</v>
      </c>
      <c r="E277" s="9">
        <v>42205</v>
      </c>
      <c r="F277" t="s">
        <v>18</v>
      </c>
    </row>
    <row r="278" spans="1:6" x14ac:dyDescent="0.25">
      <c r="A278">
        <v>108.2</v>
      </c>
      <c r="B278">
        <v>139</v>
      </c>
      <c r="C278">
        <v>6.4</v>
      </c>
      <c r="D278">
        <v>2015</v>
      </c>
      <c r="E278" s="9">
        <v>42205</v>
      </c>
      <c r="F278" t="s">
        <v>18</v>
      </c>
    </row>
    <row r="279" spans="1:6" x14ac:dyDescent="0.25">
      <c r="A279">
        <v>108.2</v>
      </c>
      <c r="B279">
        <v>140</v>
      </c>
      <c r="C279">
        <v>33.700000000000003</v>
      </c>
      <c r="D279">
        <v>2015</v>
      </c>
      <c r="E279" s="9">
        <v>42205</v>
      </c>
      <c r="F279" t="s">
        <v>18</v>
      </c>
    </row>
    <row r="280" spans="1:6" x14ac:dyDescent="0.25">
      <c r="A280">
        <v>108.2</v>
      </c>
      <c r="B280">
        <v>141</v>
      </c>
      <c r="C280">
        <v>3.7</v>
      </c>
      <c r="D280">
        <v>2015</v>
      </c>
      <c r="E280" s="9">
        <v>42205</v>
      </c>
      <c r="F280" t="s">
        <v>18</v>
      </c>
    </row>
    <row r="281" spans="1:6" x14ac:dyDescent="0.25">
      <c r="A281">
        <v>108.2</v>
      </c>
      <c r="B281">
        <v>142</v>
      </c>
      <c r="C281">
        <v>1.9</v>
      </c>
      <c r="D281">
        <v>2015</v>
      </c>
      <c r="E281" s="9">
        <v>42205</v>
      </c>
      <c r="F281" t="s">
        <v>18</v>
      </c>
    </row>
    <row r="282" spans="1:6" x14ac:dyDescent="0.25">
      <c r="A282">
        <v>108.2</v>
      </c>
      <c r="B282">
        <v>143</v>
      </c>
      <c r="C282">
        <v>16.600000000000001</v>
      </c>
      <c r="D282">
        <v>2015</v>
      </c>
      <c r="E282" s="9">
        <v>42205</v>
      </c>
      <c r="F282" t="s">
        <v>18</v>
      </c>
    </row>
    <row r="283" spans="1:6" x14ac:dyDescent="0.25">
      <c r="A283">
        <v>123</v>
      </c>
      <c r="B283">
        <v>1</v>
      </c>
      <c r="C283">
        <v>3.4</v>
      </c>
      <c r="D283">
        <v>2022</v>
      </c>
      <c r="E283" s="9">
        <v>44814</v>
      </c>
      <c r="F283" t="s">
        <v>18</v>
      </c>
    </row>
    <row r="284" spans="1:6" x14ac:dyDescent="0.25">
      <c r="A284">
        <v>123</v>
      </c>
      <c r="B284">
        <v>2</v>
      </c>
      <c r="C284">
        <v>42</v>
      </c>
      <c r="D284">
        <v>2022</v>
      </c>
      <c r="E284" s="9">
        <v>44814</v>
      </c>
      <c r="F284" t="s">
        <v>18</v>
      </c>
    </row>
    <row r="285" spans="1:6" x14ac:dyDescent="0.25">
      <c r="A285">
        <v>123</v>
      </c>
      <c r="B285">
        <v>3</v>
      </c>
      <c r="C285">
        <v>1.8</v>
      </c>
      <c r="D285">
        <v>2022</v>
      </c>
      <c r="E285" s="9">
        <v>44814</v>
      </c>
      <c r="F285" t="s">
        <v>18</v>
      </c>
    </row>
    <row r="286" spans="1:6" x14ac:dyDescent="0.25">
      <c r="A286">
        <v>123</v>
      </c>
      <c r="B286">
        <v>4</v>
      </c>
      <c r="C286">
        <v>3.6</v>
      </c>
      <c r="D286">
        <v>2022</v>
      </c>
      <c r="E286" s="9">
        <v>44814</v>
      </c>
      <c r="F286" t="s">
        <v>18</v>
      </c>
    </row>
    <row r="287" spans="1:6" x14ac:dyDescent="0.25">
      <c r="A287">
        <v>123</v>
      </c>
      <c r="B287">
        <v>5</v>
      </c>
      <c r="C287">
        <v>1.4</v>
      </c>
      <c r="D287">
        <v>2022</v>
      </c>
      <c r="E287" s="9">
        <v>44814</v>
      </c>
      <c r="F287" t="s">
        <v>18</v>
      </c>
    </row>
    <row r="288" spans="1:6" x14ac:dyDescent="0.25">
      <c r="A288">
        <v>121.07</v>
      </c>
      <c r="B288">
        <v>6</v>
      </c>
      <c r="C288">
        <v>12.3</v>
      </c>
      <c r="D288">
        <v>2022</v>
      </c>
      <c r="E288" s="9">
        <v>44814</v>
      </c>
      <c r="F288" t="s">
        <v>18</v>
      </c>
    </row>
    <row r="289" spans="1:6" x14ac:dyDescent="0.25">
      <c r="A289">
        <v>121.07</v>
      </c>
      <c r="B289">
        <v>7</v>
      </c>
      <c r="C289">
        <v>1.9</v>
      </c>
      <c r="D289">
        <v>2022</v>
      </c>
      <c r="E289" s="9">
        <v>44814</v>
      </c>
      <c r="F289" t="s">
        <v>18</v>
      </c>
    </row>
    <row r="290" spans="1:6" x14ac:dyDescent="0.25">
      <c r="A290">
        <v>121.07</v>
      </c>
      <c r="B290">
        <v>8</v>
      </c>
      <c r="C290">
        <v>3.3</v>
      </c>
      <c r="D290">
        <v>2022</v>
      </c>
      <c r="E290" s="9">
        <v>44814</v>
      </c>
      <c r="F290" t="s">
        <v>18</v>
      </c>
    </row>
    <row r="291" spans="1:6" x14ac:dyDescent="0.25">
      <c r="A291">
        <v>121.07</v>
      </c>
      <c r="B291">
        <v>9</v>
      </c>
      <c r="C291">
        <v>2.2000000000000002</v>
      </c>
      <c r="D291">
        <v>2022</v>
      </c>
      <c r="E291" s="9">
        <v>44814</v>
      </c>
      <c r="F291" t="s">
        <v>18</v>
      </c>
    </row>
    <row r="292" spans="1:6" x14ac:dyDescent="0.25">
      <c r="A292">
        <v>121.07</v>
      </c>
      <c r="B292">
        <v>10</v>
      </c>
      <c r="C292">
        <v>21.6</v>
      </c>
      <c r="D292">
        <v>2022</v>
      </c>
      <c r="E292" s="9">
        <v>44814</v>
      </c>
      <c r="F292" t="s">
        <v>18</v>
      </c>
    </row>
    <row r="293" spans="1:6" x14ac:dyDescent="0.25">
      <c r="A293">
        <v>121.07</v>
      </c>
      <c r="B293">
        <v>11</v>
      </c>
      <c r="C293">
        <v>16.7</v>
      </c>
      <c r="D293">
        <v>2022</v>
      </c>
      <c r="E293" s="9">
        <v>44814</v>
      </c>
      <c r="F293" t="s">
        <v>18</v>
      </c>
    </row>
    <row r="294" spans="1:6" x14ac:dyDescent="0.25">
      <c r="A294">
        <v>121.07</v>
      </c>
      <c r="B294">
        <v>12</v>
      </c>
      <c r="C294">
        <v>5.7</v>
      </c>
      <c r="D294">
        <v>2022</v>
      </c>
      <c r="E294" s="9">
        <v>44814</v>
      </c>
      <c r="F294" t="s">
        <v>18</v>
      </c>
    </row>
    <row r="295" spans="1:6" x14ac:dyDescent="0.25">
      <c r="A295">
        <v>115.69</v>
      </c>
      <c r="B295">
        <v>13</v>
      </c>
      <c r="C295">
        <v>51.9</v>
      </c>
      <c r="D295">
        <v>2022</v>
      </c>
      <c r="E295" s="9">
        <v>44814</v>
      </c>
      <c r="F295" t="s">
        <v>18</v>
      </c>
    </row>
    <row r="296" spans="1:6" x14ac:dyDescent="0.25">
      <c r="A296">
        <v>115.69</v>
      </c>
      <c r="B296">
        <v>14</v>
      </c>
      <c r="C296">
        <v>43.5</v>
      </c>
      <c r="D296">
        <v>2022</v>
      </c>
      <c r="E296" s="9">
        <v>44814</v>
      </c>
      <c r="F296" t="s">
        <v>18</v>
      </c>
    </row>
    <row r="297" spans="1:6" x14ac:dyDescent="0.25">
      <c r="A297">
        <v>115.69</v>
      </c>
      <c r="B297">
        <v>15</v>
      </c>
      <c r="C297">
        <v>1.6</v>
      </c>
      <c r="D297">
        <v>2022</v>
      </c>
      <c r="E297" s="9">
        <v>44814</v>
      </c>
      <c r="F297" t="s">
        <v>18</v>
      </c>
    </row>
    <row r="298" spans="1:6" x14ac:dyDescent="0.25">
      <c r="A298">
        <v>115.69</v>
      </c>
      <c r="B298">
        <v>16</v>
      </c>
      <c r="C298">
        <v>354</v>
      </c>
      <c r="D298">
        <v>2022</v>
      </c>
      <c r="E298" s="9">
        <v>44814</v>
      </c>
      <c r="F298" t="s">
        <v>18</v>
      </c>
    </row>
    <row r="299" spans="1:6" x14ac:dyDescent="0.25">
      <c r="A299">
        <v>115.69</v>
      </c>
      <c r="B299">
        <v>17</v>
      </c>
      <c r="C299">
        <v>17.3</v>
      </c>
      <c r="D299">
        <v>2022</v>
      </c>
      <c r="E299" s="9">
        <v>44814</v>
      </c>
      <c r="F299" t="s">
        <v>18</v>
      </c>
    </row>
    <row r="300" spans="1:6" x14ac:dyDescent="0.25">
      <c r="A300">
        <v>115.69</v>
      </c>
      <c r="B300">
        <v>18</v>
      </c>
      <c r="C300">
        <v>6.2</v>
      </c>
      <c r="D300">
        <v>2022</v>
      </c>
      <c r="E300" s="9">
        <v>44814</v>
      </c>
      <c r="F300" t="s">
        <v>18</v>
      </c>
    </row>
    <row r="301" spans="1:6" x14ac:dyDescent="0.25">
      <c r="A301">
        <v>115.69</v>
      </c>
      <c r="B301">
        <v>19</v>
      </c>
      <c r="C301">
        <v>20</v>
      </c>
      <c r="D301">
        <v>2022</v>
      </c>
      <c r="E301" s="9">
        <v>44814</v>
      </c>
      <c r="F301" t="s">
        <v>18</v>
      </c>
    </row>
    <row r="302" spans="1:6" x14ac:dyDescent="0.25">
      <c r="A302">
        <v>115.69</v>
      </c>
      <c r="B302">
        <v>20</v>
      </c>
      <c r="C302">
        <v>11.1</v>
      </c>
      <c r="D302">
        <v>2022</v>
      </c>
      <c r="E302" s="9">
        <v>44814</v>
      </c>
      <c r="F302" t="s">
        <v>18</v>
      </c>
    </row>
    <row r="303" spans="1:6" x14ac:dyDescent="0.25">
      <c r="A303">
        <v>115.69</v>
      </c>
      <c r="B303">
        <v>21</v>
      </c>
      <c r="C303">
        <v>1.5</v>
      </c>
      <c r="D303">
        <v>2022</v>
      </c>
      <c r="E303" s="9">
        <v>44814</v>
      </c>
      <c r="F303" t="s">
        <v>18</v>
      </c>
    </row>
    <row r="304" spans="1:6" x14ac:dyDescent="0.25">
      <c r="A304">
        <v>115.69</v>
      </c>
      <c r="B304">
        <v>22</v>
      </c>
      <c r="C304">
        <v>2.4</v>
      </c>
      <c r="D304">
        <v>2022</v>
      </c>
      <c r="E304" s="9">
        <v>44814</v>
      </c>
      <c r="F304" t="s">
        <v>18</v>
      </c>
    </row>
    <row r="305" spans="1:6" x14ac:dyDescent="0.25">
      <c r="A305">
        <v>115.69</v>
      </c>
      <c r="B305">
        <v>23</v>
      </c>
      <c r="C305">
        <v>1.6</v>
      </c>
      <c r="D305">
        <v>2022</v>
      </c>
      <c r="E305" s="9">
        <v>44814</v>
      </c>
      <c r="F305" t="s">
        <v>18</v>
      </c>
    </row>
    <row r="306" spans="1:6" x14ac:dyDescent="0.25">
      <c r="A306">
        <v>114.35</v>
      </c>
      <c r="B306">
        <v>24</v>
      </c>
      <c r="C306">
        <v>4.2</v>
      </c>
      <c r="D306">
        <v>2022</v>
      </c>
      <c r="E306" s="9">
        <v>44814</v>
      </c>
      <c r="F306" t="s">
        <v>18</v>
      </c>
    </row>
    <row r="307" spans="1:6" x14ac:dyDescent="0.25">
      <c r="A307">
        <v>114.35</v>
      </c>
      <c r="B307">
        <v>25</v>
      </c>
      <c r="C307">
        <v>13.3</v>
      </c>
      <c r="D307">
        <v>2022</v>
      </c>
      <c r="E307" s="9">
        <v>44814</v>
      </c>
      <c r="F307" t="s">
        <v>18</v>
      </c>
    </row>
    <row r="308" spans="1:6" x14ac:dyDescent="0.25">
      <c r="A308">
        <v>114.35</v>
      </c>
      <c r="B308">
        <v>26</v>
      </c>
      <c r="C308">
        <v>2.6</v>
      </c>
      <c r="D308">
        <v>2022</v>
      </c>
      <c r="E308" s="9">
        <v>44814</v>
      </c>
      <c r="F308" t="s">
        <v>18</v>
      </c>
    </row>
    <row r="309" spans="1:6" x14ac:dyDescent="0.25">
      <c r="A309">
        <v>114.35</v>
      </c>
      <c r="B309">
        <v>27</v>
      </c>
      <c r="C309">
        <v>2.1</v>
      </c>
      <c r="D309">
        <v>2022</v>
      </c>
      <c r="E309" s="9">
        <v>44814</v>
      </c>
      <c r="F309" t="s">
        <v>18</v>
      </c>
    </row>
    <row r="310" spans="1:6" x14ac:dyDescent="0.25">
      <c r="A310">
        <v>114.35</v>
      </c>
      <c r="B310">
        <v>28</v>
      </c>
      <c r="C310">
        <v>1</v>
      </c>
      <c r="D310">
        <v>2022</v>
      </c>
      <c r="E310" s="9">
        <v>44814</v>
      </c>
      <c r="F310" t="s">
        <v>18</v>
      </c>
    </row>
    <row r="311" spans="1:6" x14ac:dyDescent="0.25">
      <c r="A311">
        <v>114.35</v>
      </c>
      <c r="B311">
        <v>29</v>
      </c>
      <c r="C311">
        <v>2.7</v>
      </c>
      <c r="D311">
        <v>2022</v>
      </c>
      <c r="E311" s="9">
        <v>44814</v>
      </c>
      <c r="F311" t="s">
        <v>18</v>
      </c>
    </row>
    <row r="312" spans="1:6" x14ac:dyDescent="0.25">
      <c r="A312">
        <v>114.35</v>
      </c>
      <c r="B312">
        <v>30</v>
      </c>
      <c r="C312">
        <v>2.1</v>
      </c>
      <c r="D312">
        <v>2022</v>
      </c>
      <c r="E312" s="9">
        <v>44814</v>
      </c>
      <c r="F312" t="s">
        <v>18</v>
      </c>
    </row>
    <row r="313" spans="1:6" x14ac:dyDescent="0.25">
      <c r="A313">
        <v>114.35</v>
      </c>
      <c r="B313">
        <v>31</v>
      </c>
      <c r="C313">
        <v>46.3</v>
      </c>
      <c r="D313">
        <v>2022</v>
      </c>
      <c r="E313" s="9">
        <v>44814</v>
      </c>
      <c r="F313" t="s">
        <v>18</v>
      </c>
    </row>
    <row r="314" spans="1:6" x14ac:dyDescent="0.25">
      <c r="A314">
        <v>114.35</v>
      </c>
      <c r="B314">
        <v>32</v>
      </c>
      <c r="C314">
        <v>70.599999999999994</v>
      </c>
      <c r="D314">
        <v>2022</v>
      </c>
      <c r="E314" s="9">
        <v>44814</v>
      </c>
      <c r="F314" t="s">
        <v>18</v>
      </c>
    </row>
    <row r="315" spans="1:6" x14ac:dyDescent="0.25">
      <c r="A315">
        <v>114.35</v>
      </c>
      <c r="B315">
        <v>33</v>
      </c>
      <c r="C315">
        <v>6.7</v>
      </c>
      <c r="D315">
        <v>2022</v>
      </c>
      <c r="E315" s="9">
        <v>44814</v>
      </c>
      <c r="F315" t="s">
        <v>18</v>
      </c>
    </row>
    <row r="316" spans="1:6" x14ac:dyDescent="0.25">
      <c r="A316">
        <v>108.2</v>
      </c>
      <c r="B316">
        <v>34</v>
      </c>
      <c r="C316">
        <v>16.399999999999999</v>
      </c>
      <c r="D316">
        <v>2022</v>
      </c>
      <c r="E316" s="9">
        <v>44814</v>
      </c>
      <c r="F316" t="s">
        <v>18</v>
      </c>
    </row>
    <row r="317" spans="1:6" x14ac:dyDescent="0.25">
      <c r="A317">
        <v>108.2</v>
      </c>
      <c r="B317">
        <v>35</v>
      </c>
      <c r="C317">
        <v>1.9</v>
      </c>
      <c r="D317">
        <v>2022</v>
      </c>
      <c r="E317" s="9">
        <v>44814</v>
      </c>
      <c r="F317" t="s">
        <v>18</v>
      </c>
    </row>
    <row r="318" spans="1:6" x14ac:dyDescent="0.25">
      <c r="A318">
        <v>108.2</v>
      </c>
      <c r="B318">
        <v>36</v>
      </c>
      <c r="C318">
        <v>2.7</v>
      </c>
      <c r="D318">
        <v>2022</v>
      </c>
      <c r="E318" s="9">
        <v>44814</v>
      </c>
      <c r="F318" t="s">
        <v>18</v>
      </c>
    </row>
    <row r="319" spans="1:6" x14ac:dyDescent="0.25">
      <c r="A319">
        <v>108.2</v>
      </c>
      <c r="B319">
        <v>37</v>
      </c>
      <c r="C319">
        <v>0.9</v>
      </c>
      <c r="D319">
        <v>2022</v>
      </c>
      <c r="E319" s="9">
        <v>44814</v>
      </c>
      <c r="F319" t="s">
        <v>18</v>
      </c>
    </row>
    <row r="320" spans="1:6" x14ac:dyDescent="0.25">
      <c r="A320">
        <v>108.2</v>
      </c>
      <c r="B320">
        <v>38</v>
      </c>
      <c r="C320">
        <v>0.7</v>
      </c>
      <c r="D320">
        <v>2022</v>
      </c>
      <c r="E320" s="9">
        <v>44814</v>
      </c>
      <c r="F320" t="s">
        <v>18</v>
      </c>
    </row>
    <row r="321" spans="1:6" x14ac:dyDescent="0.25">
      <c r="A321">
        <v>108.2</v>
      </c>
      <c r="B321">
        <v>39</v>
      </c>
      <c r="C321">
        <v>27.5</v>
      </c>
      <c r="D321">
        <v>2022</v>
      </c>
      <c r="E321" s="9">
        <v>44814</v>
      </c>
      <c r="F321" t="s">
        <v>18</v>
      </c>
    </row>
    <row r="322" spans="1:6" x14ac:dyDescent="0.25">
      <c r="A322">
        <v>108.2</v>
      </c>
      <c r="B322">
        <v>40</v>
      </c>
      <c r="C322">
        <v>1.1000000000000001</v>
      </c>
      <c r="D322">
        <v>2022</v>
      </c>
      <c r="E322" s="9">
        <v>44814</v>
      </c>
      <c r="F322" t="s">
        <v>18</v>
      </c>
    </row>
    <row r="323" spans="1:6" x14ac:dyDescent="0.25">
      <c r="A323">
        <v>108.2</v>
      </c>
      <c r="B323">
        <v>41</v>
      </c>
      <c r="C323">
        <v>33.9</v>
      </c>
      <c r="D323">
        <v>2022</v>
      </c>
      <c r="E323" s="9">
        <v>44814</v>
      </c>
      <c r="F323" t="s">
        <v>18</v>
      </c>
    </row>
    <row r="324" spans="1:6" x14ac:dyDescent="0.25">
      <c r="A324">
        <v>108.2</v>
      </c>
      <c r="B324">
        <v>42</v>
      </c>
      <c r="C324">
        <v>2.2999999999999998</v>
      </c>
      <c r="D324">
        <v>2022</v>
      </c>
      <c r="E324" s="9">
        <v>44814</v>
      </c>
      <c r="F324" t="s">
        <v>18</v>
      </c>
    </row>
    <row r="325" spans="1:6" x14ac:dyDescent="0.25">
      <c r="A325">
        <v>108.2</v>
      </c>
      <c r="B325">
        <v>43</v>
      </c>
      <c r="C325">
        <v>35.1</v>
      </c>
      <c r="D325">
        <v>2022</v>
      </c>
      <c r="E325" s="9">
        <v>44814</v>
      </c>
      <c r="F325" t="s">
        <v>18</v>
      </c>
    </row>
    <row r="326" spans="1:6" x14ac:dyDescent="0.25">
      <c r="A326">
        <v>108.2</v>
      </c>
      <c r="B326">
        <v>44</v>
      </c>
      <c r="C326">
        <v>1.1000000000000001</v>
      </c>
      <c r="D326">
        <v>2022</v>
      </c>
      <c r="E326" s="9">
        <v>44814</v>
      </c>
      <c r="F326" t="s">
        <v>18</v>
      </c>
    </row>
    <row r="327" spans="1:6" x14ac:dyDescent="0.25">
      <c r="A327">
        <v>108.2</v>
      </c>
      <c r="B327">
        <v>45</v>
      </c>
      <c r="C327">
        <v>5.6</v>
      </c>
      <c r="D327">
        <v>2022</v>
      </c>
      <c r="E327" s="9">
        <v>44814</v>
      </c>
      <c r="F327" t="s">
        <v>18</v>
      </c>
    </row>
    <row r="328" spans="1:6" x14ac:dyDescent="0.25">
      <c r="A328">
        <v>108.2</v>
      </c>
      <c r="B328">
        <v>46</v>
      </c>
      <c r="C328">
        <v>0.8</v>
      </c>
      <c r="D328">
        <v>2022</v>
      </c>
      <c r="E328" s="9">
        <v>44814</v>
      </c>
      <c r="F328" t="s">
        <v>18</v>
      </c>
    </row>
    <row r="329" spans="1:6" x14ac:dyDescent="0.25">
      <c r="A329">
        <v>108.2</v>
      </c>
      <c r="B329">
        <v>47</v>
      </c>
      <c r="C329">
        <v>0.7</v>
      </c>
      <c r="D329">
        <v>2022</v>
      </c>
      <c r="E329" s="9">
        <v>44814</v>
      </c>
      <c r="F329" t="s">
        <v>18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34222-DA78-4085-81BB-47C1042EF0C9}">
  <dimension ref="A1:O51"/>
  <sheetViews>
    <sheetView tabSelected="1" workbookViewId="0">
      <selection activeCell="E24" sqref="E24"/>
    </sheetView>
  </sheetViews>
  <sheetFormatPr defaultRowHeight="15.75" x14ac:dyDescent="0.25"/>
  <cols>
    <col min="1" max="1" width="9.28515625" style="10" bestFit="1" customWidth="1"/>
    <col min="2" max="2" width="13.28515625" style="15" bestFit="1" customWidth="1"/>
    <col min="3" max="3" width="15.85546875" style="15" bestFit="1" customWidth="1"/>
    <col min="4" max="4" width="14.28515625" style="10" bestFit="1" customWidth="1"/>
    <col min="5" max="5" width="11" style="10" bestFit="1" customWidth="1"/>
    <col min="6" max="6" width="12.28515625" style="10" bestFit="1" customWidth="1"/>
    <col min="7" max="7" width="15.85546875" style="10" bestFit="1" customWidth="1"/>
    <col min="8" max="8" width="18.140625" style="10" bestFit="1" customWidth="1"/>
    <col min="9" max="9" width="17" style="10" bestFit="1" customWidth="1"/>
    <col min="10" max="10" width="16.7109375" style="10" customWidth="1"/>
    <col min="11" max="11" width="16" style="10" bestFit="1" customWidth="1"/>
    <col min="12" max="12" width="15.5703125" style="10" bestFit="1" customWidth="1"/>
    <col min="13" max="13" width="15.7109375" style="10" bestFit="1" customWidth="1"/>
    <col min="14" max="14" width="15" style="10" customWidth="1"/>
    <col min="15" max="15" width="9.5703125" style="10" customWidth="1"/>
    <col min="16" max="16384" width="9.140625" style="10"/>
  </cols>
  <sheetData>
    <row r="1" spans="1:13" x14ac:dyDescent="0.25">
      <c r="A1" s="10" t="s">
        <v>4</v>
      </c>
      <c r="B1" s="11" t="s">
        <v>19</v>
      </c>
      <c r="C1" s="11" t="s">
        <v>3</v>
      </c>
      <c r="D1" s="11" t="s">
        <v>15</v>
      </c>
      <c r="E1" s="11" t="s">
        <v>16</v>
      </c>
      <c r="F1" s="11" t="s">
        <v>13</v>
      </c>
      <c r="G1" s="10" t="s">
        <v>11</v>
      </c>
      <c r="H1" s="10" t="s">
        <v>10</v>
      </c>
    </row>
    <row r="2" spans="1:13" x14ac:dyDescent="0.25">
      <c r="A2" s="10">
        <v>2015</v>
      </c>
      <c r="B2" s="12">
        <v>29.03</v>
      </c>
      <c r="C2" s="13">
        <f t="shared" ref="C2:C21" si="0">104-B2</f>
        <v>74.97</v>
      </c>
      <c r="D2" s="11">
        <v>43.138896000000003</v>
      </c>
      <c r="E2" s="11">
        <v>-97.548911000000004</v>
      </c>
      <c r="F2" s="11" t="s">
        <v>14</v>
      </c>
      <c r="G2" s="14">
        <v>435.40000000000009</v>
      </c>
      <c r="H2" s="14">
        <v>25</v>
      </c>
      <c r="K2"/>
      <c r="L2"/>
      <c r="M2"/>
    </row>
    <row r="3" spans="1:13" x14ac:dyDescent="0.25">
      <c r="A3" s="10">
        <v>2015</v>
      </c>
      <c r="B3" s="11">
        <v>22.44</v>
      </c>
      <c r="C3" s="13">
        <f t="shared" si="0"/>
        <v>81.56</v>
      </c>
      <c r="D3" s="11">
        <v>43.148778999999998</v>
      </c>
      <c r="E3" s="11">
        <v>-97.595191</v>
      </c>
      <c r="F3" s="11" t="s">
        <v>14</v>
      </c>
      <c r="G3" s="14">
        <v>182.4</v>
      </c>
      <c r="H3" s="14">
        <v>16</v>
      </c>
      <c r="K3"/>
      <c r="L3"/>
      <c r="M3"/>
    </row>
    <row r="4" spans="1:13" x14ac:dyDescent="0.25">
      <c r="A4" s="10">
        <v>2015</v>
      </c>
      <c r="B4" s="11">
        <v>20.84</v>
      </c>
      <c r="C4" s="13">
        <f t="shared" si="0"/>
        <v>83.16</v>
      </c>
      <c r="D4" s="11">
        <v>43.157060000000001</v>
      </c>
      <c r="E4" s="11">
        <v>-97.598729000000006</v>
      </c>
      <c r="F4" s="11" t="s">
        <v>14</v>
      </c>
      <c r="G4" s="14">
        <v>193.70000000000002</v>
      </c>
      <c r="H4" s="14">
        <v>14</v>
      </c>
      <c r="K4"/>
      <c r="L4"/>
      <c r="M4"/>
    </row>
    <row r="5" spans="1:13" x14ac:dyDescent="0.25">
      <c r="A5" s="10">
        <v>2015</v>
      </c>
      <c r="B5" s="11">
        <v>17.66</v>
      </c>
      <c r="C5" s="13">
        <f t="shared" si="0"/>
        <v>86.34</v>
      </c>
      <c r="D5" s="11">
        <v>43.172010999999998</v>
      </c>
      <c r="E5" s="11">
        <v>-97.613174999999998</v>
      </c>
      <c r="F5" s="11" t="s">
        <v>14</v>
      </c>
      <c r="G5" s="14">
        <v>98.699999999999989</v>
      </c>
      <c r="H5" s="14">
        <v>11</v>
      </c>
      <c r="K5"/>
      <c r="L5"/>
      <c r="M5"/>
    </row>
    <row r="6" spans="1:13" x14ac:dyDescent="0.25">
      <c r="A6" s="10">
        <v>2015</v>
      </c>
      <c r="B6" s="11">
        <v>12.71</v>
      </c>
      <c r="C6" s="13">
        <f t="shared" si="0"/>
        <v>91.289999999999992</v>
      </c>
      <c r="D6" s="11">
        <v>43.189993000000001</v>
      </c>
      <c r="E6" s="11">
        <v>-97640722</v>
      </c>
      <c r="F6" s="11" t="s">
        <v>14</v>
      </c>
      <c r="G6" s="14">
        <v>378.69999999999993</v>
      </c>
      <c r="H6" s="14">
        <v>22</v>
      </c>
    </row>
    <row r="7" spans="1:13" x14ac:dyDescent="0.25">
      <c r="A7" s="10">
        <v>2015</v>
      </c>
      <c r="B7" s="13">
        <v>-4.2</v>
      </c>
      <c r="C7" s="13">
        <f t="shared" si="0"/>
        <v>108.2</v>
      </c>
      <c r="D7" s="10">
        <v>43.255544</v>
      </c>
      <c r="E7" s="10">
        <v>-97.645106999999996</v>
      </c>
      <c r="F7" s="10" t="s">
        <v>18</v>
      </c>
      <c r="G7" s="14">
        <v>437.59999999999991</v>
      </c>
      <c r="H7" s="14">
        <v>23</v>
      </c>
      <c r="J7" s="16" t="s">
        <v>4</v>
      </c>
      <c r="K7" s="17" t="s">
        <v>23</v>
      </c>
      <c r="L7" s="17" t="s">
        <v>10</v>
      </c>
      <c r="M7" s="17" t="s">
        <v>24</v>
      </c>
    </row>
    <row r="8" spans="1:13" x14ac:dyDescent="0.25">
      <c r="A8" s="10">
        <v>2015</v>
      </c>
      <c r="B8" s="15">
        <v>-10.35</v>
      </c>
      <c r="C8" s="13">
        <f t="shared" si="0"/>
        <v>114.35</v>
      </c>
      <c r="D8" s="10">
        <v>43.284739000000002</v>
      </c>
      <c r="E8" s="10">
        <v>-97.62603</v>
      </c>
      <c r="F8" s="10" t="s">
        <v>18</v>
      </c>
      <c r="G8" s="14">
        <v>716.6999999999997</v>
      </c>
      <c r="H8" s="14">
        <v>41</v>
      </c>
      <c r="J8" s="18">
        <v>2015</v>
      </c>
      <c r="K8" s="11" t="s">
        <v>18</v>
      </c>
      <c r="L8" s="11" t="s">
        <v>30</v>
      </c>
      <c r="M8" s="11" t="s">
        <v>31</v>
      </c>
    </row>
    <row r="9" spans="1:13" x14ac:dyDescent="0.25">
      <c r="A9" s="10">
        <v>2015</v>
      </c>
      <c r="B9" s="15">
        <v>-11.69</v>
      </c>
      <c r="C9" s="13">
        <f t="shared" si="0"/>
        <v>115.69</v>
      </c>
      <c r="D9" s="10">
        <v>43.294125000000001</v>
      </c>
      <c r="E9" s="10">
        <v>-97.633842000000001</v>
      </c>
      <c r="F9" s="10" t="s">
        <v>18</v>
      </c>
      <c r="G9" s="14">
        <v>1068.5999999999999</v>
      </c>
      <c r="H9" s="14">
        <v>42</v>
      </c>
      <c r="J9" s="18"/>
      <c r="K9" s="11" t="s">
        <v>14</v>
      </c>
      <c r="L9" s="11" t="s">
        <v>32</v>
      </c>
      <c r="M9" s="11" t="s">
        <v>33</v>
      </c>
    </row>
    <row r="10" spans="1:13" x14ac:dyDescent="0.25">
      <c r="A10" s="10">
        <v>2015</v>
      </c>
      <c r="B10" s="15">
        <v>-17.07</v>
      </c>
      <c r="C10" s="13">
        <f t="shared" si="0"/>
        <v>121.07</v>
      </c>
      <c r="D10" s="10">
        <v>43.322873999999999</v>
      </c>
      <c r="E10" s="10">
        <v>-97.622820000000004</v>
      </c>
      <c r="F10" s="10" t="s">
        <v>18</v>
      </c>
      <c r="G10" s="14">
        <v>238.70000000000002</v>
      </c>
      <c r="H10" s="14">
        <v>11</v>
      </c>
      <c r="J10" s="18">
        <v>2022</v>
      </c>
      <c r="K10" s="11" t="s">
        <v>18</v>
      </c>
      <c r="L10" s="11" t="s">
        <v>34</v>
      </c>
      <c r="M10" s="11" t="s">
        <v>35</v>
      </c>
    </row>
    <row r="11" spans="1:13" x14ac:dyDescent="0.25">
      <c r="A11" s="10">
        <v>2015</v>
      </c>
      <c r="B11" s="13">
        <v>-19</v>
      </c>
      <c r="C11" s="13">
        <f t="shared" si="0"/>
        <v>123</v>
      </c>
      <c r="D11" s="10">
        <v>43.333314000000001</v>
      </c>
      <c r="E11" s="10">
        <v>-97.622369000000006</v>
      </c>
      <c r="F11" s="10" t="s">
        <v>18</v>
      </c>
      <c r="G11" s="14">
        <v>549</v>
      </c>
      <c r="H11" s="14">
        <v>26</v>
      </c>
      <c r="J11" s="19"/>
      <c r="K11" s="20" t="s">
        <v>14</v>
      </c>
      <c r="L11" s="24" t="s">
        <v>37</v>
      </c>
      <c r="M11" s="20" t="s">
        <v>36</v>
      </c>
    </row>
    <row r="12" spans="1:13" x14ac:dyDescent="0.25">
      <c r="A12" s="10">
        <v>2022</v>
      </c>
      <c r="B12" s="12">
        <v>29.03</v>
      </c>
      <c r="C12" s="13">
        <f t="shared" si="0"/>
        <v>74.97</v>
      </c>
      <c r="D12" s="11">
        <v>43.138896000000003</v>
      </c>
      <c r="E12" s="11">
        <v>-97.548911000000004</v>
      </c>
      <c r="F12" s="11" t="s">
        <v>14</v>
      </c>
      <c r="G12" s="14">
        <v>45.7</v>
      </c>
      <c r="H12" s="14">
        <v>7</v>
      </c>
    </row>
    <row r="13" spans="1:13" x14ac:dyDescent="0.25">
      <c r="A13" s="10">
        <v>2022</v>
      </c>
      <c r="B13" s="11">
        <v>22.44</v>
      </c>
      <c r="C13" s="13">
        <f t="shared" si="0"/>
        <v>81.56</v>
      </c>
      <c r="D13" s="11">
        <v>43.148778999999998</v>
      </c>
      <c r="E13" s="11">
        <v>-97.595191</v>
      </c>
      <c r="F13" s="11" t="s">
        <v>14</v>
      </c>
      <c r="G13" s="14">
        <v>145.4</v>
      </c>
      <c r="H13" s="14">
        <v>19</v>
      </c>
      <c r="L13" s="15" t="s">
        <v>20</v>
      </c>
    </row>
    <row r="14" spans="1:13" x14ac:dyDescent="0.25">
      <c r="A14" s="10">
        <v>2022</v>
      </c>
      <c r="B14" s="11">
        <v>20.84</v>
      </c>
      <c r="C14" s="13">
        <f t="shared" si="0"/>
        <v>83.16</v>
      </c>
      <c r="D14" s="11">
        <v>43.157060000000001</v>
      </c>
      <c r="E14" s="11">
        <v>-97.598729000000006</v>
      </c>
      <c r="F14" s="11" t="s">
        <v>14</v>
      </c>
      <c r="G14" s="14">
        <v>48.899999999999991</v>
      </c>
      <c r="H14" s="14">
        <v>6</v>
      </c>
      <c r="K14" s="10" t="s">
        <v>18</v>
      </c>
      <c r="L14" s="10">
        <f>1-H43/H40</f>
        <v>0.67132867132867136</v>
      </c>
      <c r="M14" s="10">
        <f>1-J43/J40</f>
        <v>0.69796718262140423</v>
      </c>
    </row>
    <row r="15" spans="1:13" x14ac:dyDescent="0.25">
      <c r="A15" s="10">
        <v>2022</v>
      </c>
      <c r="B15" s="11">
        <v>17.66</v>
      </c>
      <c r="C15" s="13">
        <f t="shared" si="0"/>
        <v>86.34</v>
      </c>
      <c r="D15" s="11">
        <v>43.172010999999998</v>
      </c>
      <c r="E15" s="11">
        <v>-97.613174999999998</v>
      </c>
      <c r="F15" s="11" t="s">
        <v>14</v>
      </c>
      <c r="G15" s="14">
        <v>13.5</v>
      </c>
      <c r="H15" s="14">
        <v>4</v>
      </c>
      <c r="K15" s="10" t="s">
        <v>14</v>
      </c>
      <c r="L15" s="10">
        <f>1-H42/H39</f>
        <v>0.43181818181818188</v>
      </c>
      <c r="M15" s="10">
        <f>1-J42/J39</f>
        <v>0.74125223058421907</v>
      </c>
    </row>
    <row r="16" spans="1:13" x14ac:dyDescent="0.25">
      <c r="A16" s="10">
        <v>2022</v>
      </c>
      <c r="B16" s="11">
        <v>12.71</v>
      </c>
      <c r="C16" s="13">
        <f t="shared" si="0"/>
        <v>91.289999999999992</v>
      </c>
      <c r="D16" s="11">
        <v>43.189993000000001</v>
      </c>
      <c r="E16" s="11">
        <v>-97640722</v>
      </c>
      <c r="F16" s="11" t="s">
        <v>14</v>
      </c>
      <c r="G16" s="14">
        <v>80</v>
      </c>
      <c r="H16" s="14">
        <v>14</v>
      </c>
    </row>
    <row r="17" spans="1:12" x14ac:dyDescent="0.25">
      <c r="A17" s="10">
        <v>2022</v>
      </c>
      <c r="B17" s="13">
        <v>-4.2</v>
      </c>
      <c r="C17" s="13">
        <f t="shared" si="0"/>
        <v>108.2</v>
      </c>
      <c r="D17" s="10">
        <v>43.255544</v>
      </c>
      <c r="E17" s="10">
        <v>-97.645106999999996</v>
      </c>
      <c r="F17" s="10" t="s">
        <v>18</v>
      </c>
      <c r="G17" s="14">
        <v>130.69999999999999</v>
      </c>
      <c r="H17" s="14">
        <v>14</v>
      </c>
    </row>
    <row r="18" spans="1:12" x14ac:dyDescent="0.25">
      <c r="A18" s="10">
        <v>2022</v>
      </c>
      <c r="B18" s="15">
        <v>-10.35</v>
      </c>
      <c r="C18" s="13">
        <f t="shared" si="0"/>
        <v>114.35</v>
      </c>
      <c r="D18" s="10">
        <v>43.284739000000002</v>
      </c>
      <c r="E18" s="10">
        <v>-97.62603</v>
      </c>
      <c r="F18" s="10" t="s">
        <v>18</v>
      </c>
      <c r="G18" s="14">
        <v>151.59999999999997</v>
      </c>
      <c r="H18" s="14">
        <v>10</v>
      </c>
    </row>
    <row r="19" spans="1:12" x14ac:dyDescent="0.25">
      <c r="A19" s="10">
        <v>2022</v>
      </c>
      <c r="B19" s="15">
        <v>-11.69</v>
      </c>
      <c r="C19" s="13">
        <f t="shared" si="0"/>
        <v>115.69</v>
      </c>
      <c r="D19" s="10">
        <v>43.294125000000001</v>
      </c>
      <c r="E19" s="10">
        <v>-97.633842000000001</v>
      </c>
      <c r="F19" s="10" t="s">
        <v>18</v>
      </c>
      <c r="G19" s="14">
        <v>511.1</v>
      </c>
      <c r="H19" s="14">
        <v>11</v>
      </c>
    </row>
    <row r="20" spans="1:12" x14ac:dyDescent="0.25">
      <c r="A20" s="10">
        <v>2022</v>
      </c>
      <c r="B20" s="15">
        <v>-17.07</v>
      </c>
      <c r="C20" s="13">
        <f t="shared" si="0"/>
        <v>121.07</v>
      </c>
      <c r="D20" s="10">
        <v>43.322873999999999</v>
      </c>
      <c r="E20" s="10">
        <v>-97.622820000000004</v>
      </c>
      <c r="F20" s="10" t="s">
        <v>18</v>
      </c>
      <c r="G20" s="14">
        <v>63.7</v>
      </c>
      <c r="H20" s="14">
        <v>7</v>
      </c>
    </row>
    <row r="21" spans="1:12" x14ac:dyDescent="0.25">
      <c r="A21" s="10">
        <v>2022</v>
      </c>
      <c r="B21" s="13">
        <v>-19</v>
      </c>
      <c r="C21" s="13">
        <f t="shared" si="0"/>
        <v>123</v>
      </c>
      <c r="D21" s="10">
        <v>43.333314000000001</v>
      </c>
      <c r="E21" s="10">
        <v>-97.622369000000006</v>
      </c>
      <c r="F21" s="10" t="s">
        <v>18</v>
      </c>
      <c r="G21" s="14">
        <v>52.199999999999996</v>
      </c>
      <c r="H21" s="14">
        <v>5</v>
      </c>
    </row>
    <row r="26" spans="1:12" x14ac:dyDescent="0.25">
      <c r="B26" s="21" t="s">
        <v>5</v>
      </c>
      <c r="C26" s="10" t="s">
        <v>8</v>
      </c>
      <c r="D26" s="10" t="s">
        <v>17</v>
      </c>
    </row>
    <row r="27" spans="1:12" x14ac:dyDescent="0.25">
      <c r="B27" s="22">
        <v>2015</v>
      </c>
      <c r="C27" s="14">
        <v>4299.5000000000009</v>
      </c>
      <c r="D27" s="14">
        <v>231</v>
      </c>
    </row>
    <row r="28" spans="1:12" x14ac:dyDescent="0.25">
      <c r="B28" s="23">
        <v>74.97</v>
      </c>
      <c r="C28" s="14">
        <v>435.40000000000009</v>
      </c>
      <c r="D28" s="14">
        <v>25</v>
      </c>
    </row>
    <row r="29" spans="1:12" x14ac:dyDescent="0.25">
      <c r="B29" s="23">
        <v>81.56</v>
      </c>
      <c r="C29" s="14">
        <v>182.4</v>
      </c>
      <c r="D29" s="14">
        <v>16</v>
      </c>
      <c r="G29" s="21" t="s">
        <v>5</v>
      </c>
      <c r="H29" s="10" t="s">
        <v>21</v>
      </c>
      <c r="I29" s="10" t="s">
        <v>26</v>
      </c>
      <c r="J29" s="10" t="s">
        <v>22</v>
      </c>
      <c r="K29" s="10" t="s">
        <v>25</v>
      </c>
      <c r="L29" s="10" t="s">
        <v>27</v>
      </c>
    </row>
    <row r="30" spans="1:12" x14ac:dyDescent="0.25">
      <c r="B30" s="23">
        <v>83.16</v>
      </c>
      <c r="C30" s="14">
        <v>193.70000000000002</v>
      </c>
      <c r="D30" s="14">
        <v>14</v>
      </c>
      <c r="G30" s="22">
        <v>2015</v>
      </c>
      <c r="H30" s="14">
        <v>23.1</v>
      </c>
      <c r="I30" s="14">
        <v>11.140017953306897</v>
      </c>
      <c r="J30" s="14">
        <v>429.95</v>
      </c>
      <c r="K30" s="14">
        <v>292.57197879800066</v>
      </c>
      <c r="L30" s="14">
        <v>10</v>
      </c>
    </row>
    <row r="31" spans="1:12" x14ac:dyDescent="0.25">
      <c r="B31" s="23">
        <v>86.34</v>
      </c>
      <c r="C31" s="14">
        <v>98.699999999999989</v>
      </c>
      <c r="D31" s="14">
        <v>11</v>
      </c>
      <c r="G31" s="23" t="s">
        <v>14</v>
      </c>
      <c r="H31" s="14">
        <v>17.600000000000001</v>
      </c>
      <c r="I31" s="14">
        <v>5.7706152185014048</v>
      </c>
      <c r="J31" s="14">
        <v>257.78000000000003</v>
      </c>
      <c r="K31" s="14">
        <v>142.53538858823796</v>
      </c>
      <c r="L31" s="14">
        <v>5</v>
      </c>
    </row>
    <row r="32" spans="1:12" x14ac:dyDescent="0.25">
      <c r="B32" s="23">
        <v>91.289999999999992</v>
      </c>
      <c r="C32" s="14">
        <v>378.69999999999993</v>
      </c>
      <c r="D32" s="14">
        <v>22</v>
      </c>
      <c r="G32" s="23" t="s">
        <v>18</v>
      </c>
      <c r="H32" s="14">
        <v>28.6</v>
      </c>
      <c r="I32" s="14">
        <v>13.049904214207857</v>
      </c>
      <c r="J32" s="14">
        <v>602.11999999999989</v>
      </c>
      <c r="K32" s="14">
        <v>313.32683734401019</v>
      </c>
      <c r="L32" s="14">
        <v>5</v>
      </c>
    </row>
    <row r="33" spans="2:15" x14ac:dyDescent="0.25">
      <c r="B33" s="23">
        <v>108.2</v>
      </c>
      <c r="C33" s="14">
        <v>437.59999999999991</v>
      </c>
      <c r="D33" s="14">
        <v>23</v>
      </c>
      <c r="G33" s="22">
        <v>2022</v>
      </c>
      <c r="H33" s="14">
        <v>9.6999999999999993</v>
      </c>
      <c r="I33" s="14">
        <v>4.8085571871635491</v>
      </c>
      <c r="J33" s="14">
        <v>124.28000000000002</v>
      </c>
      <c r="K33" s="14">
        <v>143.68898357215835</v>
      </c>
      <c r="L33" s="14">
        <v>10</v>
      </c>
    </row>
    <row r="34" spans="2:15" x14ac:dyDescent="0.25">
      <c r="B34" s="23">
        <v>114.35</v>
      </c>
      <c r="C34" s="14">
        <v>716.6999999999997</v>
      </c>
      <c r="D34" s="14">
        <v>41</v>
      </c>
      <c r="G34" s="23" t="s">
        <v>14</v>
      </c>
      <c r="H34" s="14">
        <v>10</v>
      </c>
      <c r="I34" s="14">
        <v>6.2849025449882676</v>
      </c>
      <c r="J34" s="14">
        <v>66.7</v>
      </c>
      <c r="K34" s="14">
        <v>49.896542966422032</v>
      </c>
      <c r="L34" s="14">
        <v>5</v>
      </c>
    </row>
    <row r="35" spans="2:15" x14ac:dyDescent="0.25">
      <c r="B35" s="23">
        <v>115.69</v>
      </c>
      <c r="C35" s="14">
        <v>1068.5999999999999</v>
      </c>
      <c r="D35" s="14">
        <v>42</v>
      </c>
      <c r="G35" s="23" t="s">
        <v>18</v>
      </c>
      <c r="H35" s="14">
        <v>9.4</v>
      </c>
      <c r="I35" s="14">
        <v>3.5071355833500362</v>
      </c>
      <c r="J35" s="14">
        <v>181.86</v>
      </c>
      <c r="K35" s="14">
        <v>188.88190225640997</v>
      </c>
      <c r="L35" s="14">
        <v>5</v>
      </c>
    </row>
    <row r="36" spans="2:15" x14ac:dyDescent="0.25">
      <c r="B36" s="23">
        <v>121.07</v>
      </c>
      <c r="C36" s="14">
        <v>238.70000000000002</v>
      </c>
      <c r="D36" s="14">
        <v>11</v>
      </c>
      <c r="G36" s="22" t="s">
        <v>7</v>
      </c>
      <c r="H36" s="14">
        <v>16.399999999999999</v>
      </c>
      <c r="I36" s="14">
        <v>10.816167236327781</v>
      </c>
      <c r="J36" s="14">
        <v>277.11499999999995</v>
      </c>
      <c r="K36" s="14">
        <v>273.70505884408152</v>
      </c>
      <c r="L36" s="14">
        <v>20</v>
      </c>
    </row>
    <row r="37" spans="2:15" x14ac:dyDescent="0.25">
      <c r="B37" s="23">
        <v>123</v>
      </c>
      <c r="C37" s="14">
        <v>549</v>
      </c>
      <c r="D37" s="14">
        <v>26</v>
      </c>
    </row>
    <row r="38" spans="2:15" x14ac:dyDescent="0.25">
      <c r="B38" s="22">
        <v>2022</v>
      </c>
      <c r="C38" s="14">
        <v>1242.8000000000002</v>
      </c>
      <c r="D38" s="14">
        <v>97</v>
      </c>
      <c r="G38" s="25">
        <v>2015</v>
      </c>
      <c r="H38" s="26"/>
      <c r="I38" s="26"/>
      <c r="J38" s="26"/>
      <c r="K38" s="26"/>
      <c r="L38" s="26"/>
      <c r="N38" s="10" t="s">
        <v>28</v>
      </c>
      <c r="O38" s="10" t="s">
        <v>29</v>
      </c>
    </row>
    <row r="39" spans="2:15" x14ac:dyDescent="0.25">
      <c r="B39" s="23">
        <v>74.97</v>
      </c>
      <c r="C39" s="14">
        <v>45.7</v>
      </c>
      <c r="D39" s="14">
        <v>7</v>
      </c>
      <c r="G39" s="23" t="s">
        <v>14</v>
      </c>
      <c r="H39" s="14">
        <v>17.600000000000001</v>
      </c>
      <c r="I39" s="14">
        <v>5.7706152185014048</v>
      </c>
      <c r="J39" s="14">
        <v>257.78000000000003</v>
      </c>
      <c r="K39" s="14">
        <v>142.53538858823796</v>
      </c>
      <c r="L39" s="14">
        <v>5</v>
      </c>
      <c r="N39" s="27">
        <f>I39/SQRT(L39)</f>
        <v>2.5806975801127887</v>
      </c>
      <c r="O39" s="27">
        <f>K39/SQRT(L39)</f>
        <v>63.74376361652957</v>
      </c>
    </row>
    <row r="40" spans="2:15" x14ac:dyDescent="0.25">
      <c r="B40" s="23">
        <v>81.56</v>
      </c>
      <c r="C40" s="14">
        <v>145.4</v>
      </c>
      <c r="D40" s="14">
        <v>19</v>
      </c>
      <c r="G40" s="23" t="s">
        <v>18</v>
      </c>
      <c r="H40" s="14">
        <v>28.6</v>
      </c>
      <c r="I40" s="14">
        <v>13.049904214207857</v>
      </c>
      <c r="J40" s="14">
        <v>602.11999999999989</v>
      </c>
      <c r="K40" s="14">
        <v>313.32683734401019</v>
      </c>
      <c r="L40" s="14">
        <v>5</v>
      </c>
      <c r="N40" s="27">
        <f>I40/SQRT(L40)</f>
        <v>5.8360945845659487</v>
      </c>
      <c r="O40" s="27">
        <f>K40/SQRT(L40)</f>
        <v>140.12402149524527</v>
      </c>
    </row>
    <row r="41" spans="2:15" x14ac:dyDescent="0.25">
      <c r="B41" s="23">
        <v>83.16</v>
      </c>
      <c r="C41" s="14">
        <v>48.899999999999991</v>
      </c>
      <c r="D41" s="14">
        <v>6</v>
      </c>
      <c r="G41" s="25">
        <v>2022</v>
      </c>
      <c r="H41" s="26"/>
      <c r="I41" s="26"/>
      <c r="J41" s="26"/>
      <c r="K41" s="26"/>
      <c r="L41" s="26"/>
      <c r="N41" s="27"/>
      <c r="O41" s="27"/>
    </row>
    <row r="42" spans="2:15" x14ac:dyDescent="0.25">
      <c r="B42" s="23">
        <v>86.34</v>
      </c>
      <c r="C42" s="14">
        <v>13.5</v>
      </c>
      <c r="D42" s="14">
        <v>4</v>
      </c>
      <c r="G42" s="23" t="s">
        <v>14</v>
      </c>
      <c r="H42" s="14">
        <v>10</v>
      </c>
      <c r="I42" s="14">
        <v>6.2849025449882676</v>
      </c>
      <c r="J42" s="14">
        <v>66.7</v>
      </c>
      <c r="K42" s="14">
        <v>49.896542966422032</v>
      </c>
      <c r="L42" s="14">
        <v>5</v>
      </c>
      <c r="N42" s="27">
        <f>I42/SQRT(L42)</f>
        <v>2.8106938645110393</v>
      </c>
      <c r="O42" s="27">
        <f>K42/SQRT(L42)</f>
        <v>22.314412383031733</v>
      </c>
    </row>
    <row r="43" spans="2:15" x14ac:dyDescent="0.25">
      <c r="B43" s="23">
        <v>91.289999999999992</v>
      </c>
      <c r="C43" s="14">
        <v>80</v>
      </c>
      <c r="D43" s="14">
        <v>14</v>
      </c>
      <c r="G43" s="23" t="s">
        <v>18</v>
      </c>
      <c r="H43" s="14">
        <v>9.4</v>
      </c>
      <c r="I43" s="14">
        <v>3.5071355833500362</v>
      </c>
      <c r="J43" s="14">
        <v>181.86</v>
      </c>
      <c r="K43" s="14">
        <v>188.88190225640997</v>
      </c>
      <c r="L43" s="14">
        <v>5</v>
      </c>
      <c r="N43" s="27">
        <f>I43/SQRT(L43)</f>
        <v>1.568438714135812</v>
      </c>
      <c r="O43" s="27">
        <f>K43/SQRT(L43)</f>
        <v>84.470554632960713</v>
      </c>
    </row>
    <row r="44" spans="2:15" x14ac:dyDescent="0.25">
      <c r="B44" s="23">
        <v>108.2</v>
      </c>
      <c r="C44" s="14">
        <v>130.69999999999999</v>
      </c>
      <c r="D44" s="14">
        <v>14</v>
      </c>
    </row>
    <row r="45" spans="2:15" x14ac:dyDescent="0.25">
      <c r="B45" s="23">
        <v>114.35</v>
      </c>
      <c r="C45" s="14">
        <v>151.59999999999997</v>
      </c>
      <c r="D45" s="14">
        <v>10</v>
      </c>
    </row>
    <row r="46" spans="2:15" x14ac:dyDescent="0.25">
      <c r="B46" s="23">
        <v>115.69</v>
      </c>
      <c r="C46" s="14">
        <v>511.1</v>
      </c>
      <c r="D46" s="14">
        <v>11</v>
      </c>
    </row>
    <row r="47" spans="2:15" x14ac:dyDescent="0.25">
      <c r="B47" s="23">
        <v>121.07</v>
      </c>
      <c r="C47" s="14">
        <v>63.7</v>
      </c>
      <c r="D47" s="14">
        <v>7</v>
      </c>
    </row>
    <row r="48" spans="2:15" x14ac:dyDescent="0.25">
      <c r="B48" s="23">
        <v>123</v>
      </c>
      <c r="C48" s="14">
        <v>52.199999999999996</v>
      </c>
      <c r="D48" s="14">
        <v>5</v>
      </c>
    </row>
    <row r="49" spans="2:4" x14ac:dyDescent="0.25">
      <c r="B49" s="22" t="s">
        <v>6</v>
      </c>
      <c r="C49" s="14"/>
      <c r="D49" s="14"/>
    </row>
    <row r="50" spans="2:4" x14ac:dyDescent="0.25">
      <c r="B50" s="23" t="s">
        <v>6</v>
      </c>
      <c r="C50" s="14"/>
      <c r="D50" s="14"/>
    </row>
    <row r="51" spans="2:4" x14ac:dyDescent="0.25">
      <c r="B51" s="22" t="s">
        <v>7</v>
      </c>
      <c r="C51" s="14">
        <v>5542.3000000000029</v>
      </c>
      <c r="D51" s="14">
        <v>328</v>
      </c>
    </row>
  </sheetData>
  <sortState xmlns:xlrd2="http://schemas.microsoft.com/office/spreadsheetml/2017/richdata2" ref="A2:H30">
    <sortCondition ref="A2:A30"/>
    <sortCondition ref="C2:C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SummaryTable</vt:lpstr>
      <vt:lpstr>SupplementaryData</vt:lpstr>
      <vt:lpstr>SupplementarySummary</vt:lpstr>
    </vt:vector>
  </TitlesOfParts>
  <Company>State of South Dakota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Wicks, Adam</dc:creator>
  <cp:lastModifiedBy>Schall, Benjamin</cp:lastModifiedBy>
  <dcterms:created xsi:type="dcterms:W3CDTF">2024-06-20T17:32:21Z</dcterms:created>
  <dcterms:modified xsi:type="dcterms:W3CDTF">2025-08-13T17:58:07Z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3b1a8e-41ed-4bc7-92d1-0305fbefd661_Enabled">
    <vt:lpwstr>true</vt:lpwstr>
  </property>
  <property fmtid="{D5CDD505-2E9C-101B-9397-08002B2CF9AE}" pid="3" name="MSIP_Label_ec3b1a8e-41ed-4bc7-92d1-0305fbefd661_SetDate">
    <vt:lpwstr>2025-08-07T04:37:25Z</vt:lpwstr>
  </property>
  <property fmtid="{D5CDD505-2E9C-101B-9397-08002B2CF9AE}" pid="4" name="MSIP_Label_ec3b1a8e-41ed-4bc7-92d1-0305fbefd661_Method">
    <vt:lpwstr>Standard</vt:lpwstr>
  </property>
  <property fmtid="{D5CDD505-2E9C-101B-9397-08002B2CF9AE}" pid="5" name="MSIP_Label_ec3b1a8e-41ed-4bc7-92d1-0305fbefd661_Name">
    <vt:lpwstr>M365-General - Anyone (Unrestricted)-Prod</vt:lpwstr>
  </property>
  <property fmtid="{D5CDD505-2E9C-101B-9397-08002B2CF9AE}" pid="6" name="MSIP_Label_ec3b1a8e-41ed-4bc7-92d1-0305fbefd661_SiteId">
    <vt:lpwstr>70af547c-69ab-416d-b4a6-543b5ce52b99</vt:lpwstr>
  </property>
  <property fmtid="{D5CDD505-2E9C-101B-9397-08002B2CF9AE}" pid="7" name="MSIP_Label_ec3b1a8e-41ed-4bc7-92d1-0305fbefd661_ActionId">
    <vt:lpwstr>bd4c89a7-e999-465e-b453-30046e47c78f</vt:lpwstr>
  </property>
  <property fmtid="{D5CDD505-2E9C-101B-9397-08002B2CF9AE}" pid="8" name="MSIP_Label_ec3b1a8e-41ed-4bc7-92d1-0305fbefd661_ContentBits">
    <vt:lpwstr>0</vt:lpwstr>
  </property>
  <property fmtid="{D5CDD505-2E9C-101B-9397-08002B2CF9AE}" pid="9" name="MSIP_Label_ec3b1a8e-41ed-4bc7-92d1-0305fbefd661_Tag">
    <vt:lpwstr>10, 3, 0, 1</vt:lpwstr>
  </property>
</Properties>
</file>